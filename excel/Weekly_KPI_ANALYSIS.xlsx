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ATA ANALYST PROJECT\"/>
    </mc:Choice>
  </mc:AlternateContent>
  <xr:revisionPtr revIDLastSave="0" documentId="8_{881B4E98-1118-41C2-937E-451B6E0F7B93}" xr6:coauthVersionLast="47" xr6:coauthVersionMax="47" xr10:uidLastSave="{00000000-0000-0000-0000-000000000000}"/>
  <bookViews>
    <workbookView xWindow="-108" yWindow="-108" windowWidth="23256" windowHeight="13176" xr2:uid="{C5D3F31B-B05D-4E81-9458-C1422641957C}"/>
  </bookViews>
  <sheets>
    <sheet name="Weekly_KPI_Analysis" sheetId="1" r:id="rId1"/>
  </sheets>
  <definedNames>
    <definedName name="_xlnm._FilterDatabase" localSheetId="0" hidden="1">Weekly_KPI_Analysis!$A$1:$I$211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E3" i="1"/>
  <c r="F3" i="1"/>
  <c r="H3" i="1" s="1"/>
  <c r="E4" i="1"/>
  <c r="F4" i="1"/>
  <c r="E5" i="1"/>
  <c r="F5" i="1"/>
  <c r="H4" i="1" s="1"/>
  <c r="E6" i="1"/>
  <c r="F6" i="1"/>
  <c r="E7" i="1"/>
  <c r="F7" i="1"/>
  <c r="G7" i="1" s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G31" i="1" s="1"/>
  <c r="E32" i="1"/>
  <c r="F32" i="1"/>
  <c r="E33" i="1"/>
  <c r="F33" i="1"/>
  <c r="E34" i="1"/>
  <c r="F34" i="1"/>
  <c r="E35" i="1"/>
  <c r="F35" i="1"/>
  <c r="G35" i="1" s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G43" i="1" s="1"/>
  <c r="E44" i="1"/>
  <c r="F44" i="1"/>
  <c r="E45" i="1"/>
  <c r="F45" i="1"/>
  <c r="E46" i="1"/>
  <c r="F46" i="1"/>
  <c r="E47" i="1"/>
  <c r="F47" i="1"/>
  <c r="G47" i="1" s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G55" i="1" s="1"/>
  <c r="E56" i="1"/>
  <c r="F56" i="1"/>
  <c r="E57" i="1"/>
  <c r="F57" i="1"/>
  <c r="E58" i="1"/>
  <c r="F58" i="1"/>
  <c r="E59" i="1"/>
  <c r="F59" i="1"/>
  <c r="G59" i="1" s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G67" i="1" s="1"/>
  <c r="E68" i="1"/>
  <c r="F68" i="1"/>
  <c r="E69" i="1"/>
  <c r="F69" i="1"/>
  <c r="E70" i="1"/>
  <c r="F70" i="1"/>
  <c r="E71" i="1"/>
  <c r="F71" i="1"/>
  <c r="G71" i="1" s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G79" i="1" s="1"/>
  <c r="E80" i="1"/>
  <c r="F80" i="1"/>
  <c r="E81" i="1"/>
  <c r="F81" i="1"/>
  <c r="E82" i="1"/>
  <c r="F82" i="1"/>
  <c r="E83" i="1"/>
  <c r="F83" i="1"/>
  <c r="G83" i="1" s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G91" i="1" s="1"/>
  <c r="E92" i="1"/>
  <c r="F92" i="1"/>
  <c r="E93" i="1"/>
  <c r="F93" i="1"/>
  <c r="E94" i="1"/>
  <c r="F94" i="1"/>
  <c r="E95" i="1"/>
  <c r="F95" i="1"/>
  <c r="G95" i="1" s="1"/>
  <c r="E96" i="1"/>
  <c r="F96" i="1"/>
  <c r="E97" i="1"/>
  <c r="F97" i="1"/>
  <c r="E98" i="1"/>
  <c r="F98" i="1"/>
  <c r="E99" i="1"/>
  <c r="F99" i="1"/>
  <c r="E100" i="1"/>
  <c r="F100" i="1"/>
  <c r="E101" i="1"/>
  <c r="F101" i="1"/>
  <c r="E102" i="1"/>
  <c r="F102" i="1"/>
  <c r="E103" i="1"/>
  <c r="F103" i="1"/>
  <c r="G103" i="1" s="1"/>
  <c r="E104" i="1"/>
  <c r="F104" i="1"/>
  <c r="E105" i="1"/>
  <c r="F105" i="1"/>
  <c r="E106" i="1"/>
  <c r="F106" i="1"/>
  <c r="E107" i="1"/>
  <c r="F107" i="1"/>
  <c r="G107" i="1" s="1"/>
  <c r="E108" i="1"/>
  <c r="F108" i="1"/>
  <c r="E109" i="1"/>
  <c r="F109" i="1"/>
  <c r="E110" i="1"/>
  <c r="F110" i="1"/>
  <c r="E111" i="1"/>
  <c r="F111" i="1"/>
  <c r="E112" i="1"/>
  <c r="F112" i="1"/>
  <c r="E113" i="1"/>
  <c r="F113" i="1"/>
  <c r="E114" i="1"/>
  <c r="F114" i="1"/>
  <c r="E115" i="1"/>
  <c r="F115" i="1"/>
  <c r="G115" i="1" s="1"/>
  <c r="E116" i="1"/>
  <c r="F116" i="1"/>
  <c r="E117" i="1"/>
  <c r="F117" i="1"/>
  <c r="E118" i="1"/>
  <c r="F118" i="1"/>
  <c r="E119" i="1"/>
  <c r="F119" i="1"/>
  <c r="G119" i="1" s="1"/>
  <c r="E120" i="1"/>
  <c r="F120" i="1"/>
  <c r="E121" i="1"/>
  <c r="F121" i="1"/>
  <c r="E122" i="1"/>
  <c r="F122" i="1"/>
  <c r="E123" i="1"/>
  <c r="F123" i="1"/>
  <c r="E124" i="1"/>
  <c r="F124" i="1"/>
  <c r="E125" i="1"/>
  <c r="F125" i="1"/>
  <c r="E126" i="1"/>
  <c r="F126" i="1"/>
  <c r="E127" i="1"/>
  <c r="F127" i="1"/>
  <c r="G127" i="1" s="1"/>
  <c r="E128" i="1"/>
  <c r="F128" i="1"/>
  <c r="E129" i="1"/>
  <c r="F129" i="1"/>
  <c r="E130" i="1"/>
  <c r="F130" i="1"/>
  <c r="E131" i="1"/>
  <c r="F131" i="1"/>
  <c r="G131" i="1" s="1"/>
  <c r="E132" i="1"/>
  <c r="F132" i="1"/>
  <c r="E133" i="1"/>
  <c r="F133" i="1"/>
  <c r="E134" i="1"/>
  <c r="F134" i="1"/>
  <c r="E135" i="1"/>
  <c r="F135" i="1"/>
  <c r="E136" i="1"/>
  <c r="F136" i="1"/>
  <c r="E137" i="1"/>
  <c r="F137" i="1"/>
  <c r="E138" i="1"/>
  <c r="F138" i="1"/>
  <c r="E139" i="1"/>
  <c r="F139" i="1"/>
  <c r="G139" i="1" s="1"/>
  <c r="E140" i="1"/>
  <c r="F140" i="1"/>
  <c r="E141" i="1"/>
  <c r="F141" i="1"/>
  <c r="E142" i="1"/>
  <c r="F142" i="1"/>
  <c r="E143" i="1"/>
  <c r="F143" i="1"/>
  <c r="G143" i="1" s="1"/>
  <c r="E144" i="1"/>
  <c r="F144" i="1"/>
  <c r="E145" i="1"/>
  <c r="F145" i="1"/>
  <c r="E146" i="1"/>
  <c r="F146" i="1"/>
  <c r="E147" i="1"/>
  <c r="F147" i="1"/>
  <c r="E148" i="1"/>
  <c r="F148" i="1"/>
  <c r="E149" i="1"/>
  <c r="F149" i="1"/>
  <c r="E150" i="1"/>
  <c r="F150" i="1"/>
  <c r="E151" i="1"/>
  <c r="F151" i="1"/>
  <c r="G151" i="1" s="1"/>
  <c r="E152" i="1"/>
  <c r="F152" i="1"/>
  <c r="E153" i="1"/>
  <c r="F153" i="1"/>
  <c r="E154" i="1"/>
  <c r="F154" i="1"/>
  <c r="E155" i="1"/>
  <c r="F155" i="1"/>
  <c r="G155" i="1" s="1"/>
  <c r="E156" i="1"/>
  <c r="F156" i="1"/>
  <c r="E157" i="1"/>
  <c r="F157" i="1"/>
  <c r="E158" i="1"/>
  <c r="F158" i="1"/>
  <c r="E159" i="1"/>
  <c r="F159" i="1"/>
  <c r="E160" i="1"/>
  <c r="F160" i="1"/>
  <c r="E161" i="1"/>
  <c r="F161" i="1"/>
  <c r="E162" i="1"/>
  <c r="F162" i="1"/>
  <c r="E163" i="1"/>
  <c r="F163" i="1"/>
  <c r="G163" i="1" s="1"/>
  <c r="E164" i="1"/>
  <c r="F164" i="1"/>
  <c r="E165" i="1"/>
  <c r="F165" i="1"/>
  <c r="E166" i="1"/>
  <c r="F166" i="1"/>
  <c r="E167" i="1"/>
  <c r="F167" i="1"/>
  <c r="G167" i="1" s="1"/>
  <c r="E168" i="1"/>
  <c r="F168" i="1"/>
  <c r="E169" i="1"/>
  <c r="F169" i="1"/>
  <c r="E170" i="1"/>
  <c r="F170" i="1"/>
  <c r="E171" i="1"/>
  <c r="F171" i="1"/>
  <c r="E172" i="1"/>
  <c r="F172" i="1"/>
  <c r="E173" i="1"/>
  <c r="F173" i="1"/>
  <c r="E174" i="1"/>
  <c r="F174" i="1"/>
  <c r="E175" i="1"/>
  <c r="F175" i="1"/>
  <c r="G175" i="1" s="1"/>
  <c r="E176" i="1"/>
  <c r="F176" i="1"/>
  <c r="E177" i="1"/>
  <c r="F177" i="1"/>
  <c r="E178" i="1"/>
  <c r="F178" i="1"/>
  <c r="E179" i="1"/>
  <c r="F179" i="1"/>
  <c r="G179" i="1" s="1"/>
  <c r="E180" i="1"/>
  <c r="F180" i="1"/>
  <c r="E181" i="1"/>
  <c r="F181" i="1"/>
  <c r="E182" i="1"/>
  <c r="F182" i="1"/>
  <c r="E183" i="1"/>
  <c r="F183" i="1"/>
  <c r="E184" i="1"/>
  <c r="F184" i="1"/>
  <c r="E185" i="1"/>
  <c r="F185" i="1"/>
  <c r="E186" i="1"/>
  <c r="F186" i="1"/>
  <c r="E187" i="1"/>
  <c r="F187" i="1"/>
  <c r="G187" i="1" s="1"/>
  <c r="E188" i="1"/>
  <c r="F188" i="1"/>
  <c r="E189" i="1"/>
  <c r="F189" i="1"/>
  <c r="E190" i="1"/>
  <c r="F190" i="1"/>
  <c r="E191" i="1"/>
  <c r="F191" i="1"/>
  <c r="G191" i="1" s="1"/>
  <c r="E192" i="1"/>
  <c r="F192" i="1"/>
  <c r="E193" i="1"/>
  <c r="F193" i="1"/>
  <c r="E194" i="1"/>
  <c r="F194" i="1"/>
  <c r="E195" i="1"/>
  <c r="F195" i="1"/>
  <c r="E196" i="1"/>
  <c r="F196" i="1"/>
  <c r="E197" i="1"/>
  <c r="F197" i="1"/>
  <c r="E198" i="1"/>
  <c r="F198" i="1"/>
  <c r="E199" i="1"/>
  <c r="F199" i="1"/>
  <c r="G199" i="1" s="1"/>
  <c r="E200" i="1"/>
  <c r="F200" i="1"/>
  <c r="E201" i="1"/>
  <c r="F201" i="1"/>
  <c r="E202" i="1"/>
  <c r="F202" i="1"/>
  <c r="E203" i="1"/>
  <c r="F203" i="1"/>
  <c r="G203" i="1" s="1"/>
  <c r="E204" i="1"/>
  <c r="F204" i="1"/>
  <c r="E205" i="1"/>
  <c r="F205" i="1"/>
  <c r="E206" i="1"/>
  <c r="F206" i="1"/>
  <c r="E207" i="1"/>
  <c r="F207" i="1"/>
  <c r="E208" i="1"/>
  <c r="F208" i="1"/>
  <c r="E209" i="1"/>
  <c r="F209" i="1"/>
  <c r="E210" i="1"/>
  <c r="F210" i="1"/>
  <c r="G207" i="1" l="1"/>
  <c r="G195" i="1"/>
  <c r="G183" i="1"/>
  <c r="G171" i="1"/>
  <c r="G159" i="1"/>
  <c r="G147" i="1"/>
  <c r="G135" i="1"/>
  <c r="G123" i="1"/>
  <c r="G111" i="1"/>
  <c r="G99" i="1"/>
  <c r="G87" i="1"/>
  <c r="G75" i="1"/>
  <c r="G63" i="1"/>
  <c r="G51" i="1"/>
  <c r="G39" i="1"/>
  <c r="G27" i="1"/>
  <c r="G10" i="1"/>
  <c r="G14" i="1"/>
  <c r="G18" i="1"/>
  <c r="G22" i="1"/>
  <c r="G30" i="1"/>
  <c r="G34" i="1"/>
  <c r="G38" i="1"/>
  <c r="G46" i="1"/>
  <c r="G54" i="1"/>
  <c r="G58" i="1"/>
  <c r="G66" i="1"/>
  <c r="G74" i="1"/>
  <c r="G82" i="1"/>
  <c r="G90" i="1"/>
  <c r="G98" i="1"/>
  <c r="G106" i="1"/>
  <c r="G114" i="1"/>
  <c r="G122" i="1"/>
  <c r="G130" i="1"/>
  <c r="G134" i="1"/>
  <c r="G142" i="1"/>
  <c r="G146" i="1"/>
  <c r="G154" i="1"/>
  <c r="G158" i="1"/>
  <c r="G166" i="1"/>
  <c r="G174" i="1"/>
  <c r="G182" i="1"/>
  <c r="G190" i="1"/>
  <c r="G198" i="1"/>
  <c r="G206" i="1"/>
  <c r="G3" i="1"/>
  <c r="G9" i="1"/>
  <c r="G25" i="1"/>
  <c r="G33" i="1"/>
  <c r="G41" i="1"/>
  <c r="G53" i="1"/>
  <c r="G61" i="1"/>
  <c r="G81" i="1"/>
  <c r="G89" i="1"/>
  <c r="G101" i="1"/>
  <c r="G117" i="1"/>
  <c r="G129" i="1"/>
  <c r="G141" i="1"/>
  <c r="G157" i="1"/>
  <c r="G177" i="1"/>
  <c r="G189" i="1"/>
  <c r="G201" i="1"/>
  <c r="G94" i="1"/>
  <c r="G16" i="1"/>
  <c r="G40" i="1"/>
  <c r="G60" i="1"/>
  <c r="G84" i="1"/>
  <c r="G116" i="1"/>
  <c r="G140" i="1"/>
  <c r="G168" i="1"/>
  <c r="G200" i="1"/>
  <c r="G21" i="1"/>
  <c r="G65" i="1"/>
  <c r="G93" i="1"/>
  <c r="G121" i="1"/>
  <c r="G153" i="1"/>
  <c r="G181" i="1"/>
  <c r="G209" i="1"/>
  <c r="G6" i="1"/>
  <c r="G26" i="1"/>
  <c r="G42" i="1"/>
  <c r="G50" i="1"/>
  <c r="G62" i="1"/>
  <c r="G70" i="1"/>
  <c r="G78" i="1"/>
  <c r="G86" i="1"/>
  <c r="G102" i="1"/>
  <c r="G110" i="1"/>
  <c r="G118" i="1"/>
  <c r="G126" i="1"/>
  <c r="G138" i="1"/>
  <c r="G150" i="1"/>
  <c r="G162" i="1"/>
  <c r="G170" i="1"/>
  <c r="G178" i="1"/>
  <c r="G186" i="1"/>
  <c r="G194" i="1"/>
  <c r="G202" i="1"/>
  <c r="G210" i="1"/>
  <c r="G4" i="1"/>
  <c r="G8" i="1"/>
  <c r="G24" i="1"/>
  <c r="G28" i="1"/>
  <c r="G32" i="1"/>
  <c r="G44" i="1"/>
  <c r="G52" i="1"/>
  <c r="G64" i="1"/>
  <c r="G68" i="1"/>
  <c r="G72" i="1"/>
  <c r="G88" i="1"/>
  <c r="G92" i="1"/>
  <c r="G96" i="1"/>
  <c r="G100" i="1"/>
  <c r="G112" i="1"/>
  <c r="G120" i="1"/>
  <c r="G124" i="1"/>
  <c r="G136" i="1"/>
  <c r="G144" i="1"/>
  <c r="G148" i="1"/>
  <c r="G152" i="1"/>
  <c r="G164" i="1"/>
  <c r="G172" i="1"/>
  <c r="G176" i="1"/>
  <c r="G180" i="1"/>
  <c r="G188" i="1"/>
  <c r="G196" i="1"/>
  <c r="G204" i="1"/>
  <c r="G208" i="1"/>
  <c r="G5" i="1"/>
  <c r="G29" i="1"/>
  <c r="G37" i="1"/>
  <c r="G45" i="1"/>
  <c r="G49" i="1"/>
  <c r="G57" i="1"/>
  <c r="G77" i="1"/>
  <c r="G85" i="1"/>
  <c r="G97" i="1"/>
  <c r="G113" i="1"/>
  <c r="G125" i="1"/>
  <c r="G133" i="1"/>
  <c r="G149" i="1"/>
  <c r="G161" i="1"/>
  <c r="G169" i="1"/>
  <c r="G185" i="1"/>
  <c r="G197" i="1"/>
  <c r="G12" i="1"/>
  <c r="G48" i="1"/>
  <c r="G76" i="1"/>
  <c r="G108" i="1"/>
  <c r="G132" i="1"/>
  <c r="G160" i="1"/>
  <c r="G192" i="1"/>
  <c r="G13" i="1"/>
  <c r="G69" i="1"/>
  <c r="G105" i="1"/>
  <c r="G137" i="1"/>
  <c r="G165" i="1"/>
  <c r="G193" i="1"/>
  <c r="G11" i="1"/>
  <c r="G15" i="1"/>
  <c r="G19" i="1"/>
  <c r="G23" i="1"/>
  <c r="G20" i="1"/>
  <c r="G36" i="1"/>
  <c r="G56" i="1"/>
  <c r="G80" i="1"/>
  <c r="G104" i="1"/>
  <c r="G128" i="1"/>
  <c r="G156" i="1"/>
  <c r="G184" i="1"/>
  <c r="G17" i="1"/>
  <c r="G73" i="1"/>
  <c r="G109" i="1"/>
  <c r="G145" i="1"/>
  <c r="G173" i="1"/>
  <c r="G205" i="1"/>
</calcChain>
</file>

<file path=xl/sharedStrings.xml><?xml version="1.0" encoding="utf-8"?>
<sst xmlns="http://schemas.openxmlformats.org/spreadsheetml/2006/main" count="9" uniqueCount="9">
  <si>
    <t>Std dev WoW%</t>
  </si>
  <si>
    <t>Avg WoW %</t>
  </si>
  <si>
    <t>Anomaly Flag</t>
  </si>
  <si>
    <t>WoW%</t>
  </si>
  <si>
    <t>WoW</t>
  </si>
  <si>
    <t>AOV</t>
  </si>
  <si>
    <t>Count of Order ID</t>
  </si>
  <si>
    <t>Sum of Sales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</si>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</sst>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20F94-70B9-4FC8-8272-B73F536E1106}">
  <dimension ref="A1:I211"/>
  <sheetViews>
    <sheetView tabSelected="1" zoomScale="94" workbookViewId="0">
      <selection activeCell="A3" sqref="A3"/>
    </sheetView>
  </sheetViews>
  <sheetFormatPr defaultColWidth="9.109375" defaultRowHeight="14.4" x14ac:dyDescent="0.3"/>
  <cols>
    <col min="1" max="1" width="48.6640625" style="1" customWidth="1"/>
    <col min="2" max="2" width="12" style="1" bestFit="1" customWidth="1"/>
    <col min="3" max="3" width="15.88671875" style="1" bestFit="1" customWidth="1"/>
    <col min="4" max="4" width="12" style="1" bestFit="1" customWidth="1"/>
    <col min="5" max="6" width="9.109375" style="1"/>
    <col min="7" max="7" width="35.33203125" style="1" customWidth="1"/>
    <col min="8" max="16384" width="9.109375" style="1"/>
  </cols>
  <sheetData>
    <row r="1" spans="1:9" s="3" customFormat="1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</row>
    <row r="2" spans="1:9" x14ac:dyDescent="0.3">
      <c r="A2" s="2">
        <v>42002</v>
      </c>
      <c r="B2" s="1">
        <v>304.50799999999998</v>
      </c>
      <c r="C2" s="1">
        <v>4</v>
      </c>
      <c r="D2" s="1">
        <v>76.126999999999995</v>
      </c>
      <c r="G2" s="1" t="str">
        <f>IF(ISBLANK(F2),"",IF(ABS(F2-H3)&gt;2*H4,"Anomaly","Normal"))</f>
        <v/>
      </c>
    </row>
    <row r="3" spans="1:9" x14ac:dyDescent="0.3">
      <c r="A3" s="2">
        <v>42009</v>
      </c>
      <c r="B3" s="1">
        <v>4619.1080000000011</v>
      </c>
      <c r="C3" s="1">
        <v>17</v>
      </c>
      <c r="D3" s="1">
        <v>271.7122352941177</v>
      </c>
      <c r="E3" s="1">
        <f>B3-B2</f>
        <v>4314.6000000000013</v>
      </c>
      <c r="F3" s="1">
        <f>IF(B2=0,"",(B3-B2)/B2)</f>
        <v>14.169085869665169</v>
      </c>
      <c r="G3" s="1" t="str">
        <f>IF(ABS(F3-$H$3) &gt; 2*$H$4, "Anomaly", "Normal")</f>
        <v>Anomaly</v>
      </c>
      <c r="H3" s="1">
        <f>AVERAGE(F:F)</f>
        <v>0.59020958116055333</v>
      </c>
      <c r="I3" s="1" t="s">
        <v>1</v>
      </c>
    </row>
    <row r="4" spans="1:9" x14ac:dyDescent="0.3">
      <c r="A4" s="2">
        <v>42016</v>
      </c>
      <c r="B4" s="1">
        <v>4130.5330000000004</v>
      </c>
      <c r="C4" s="1">
        <v>18</v>
      </c>
      <c r="D4" s="1">
        <v>229.47405555555557</v>
      </c>
      <c r="E4" s="1">
        <f>B4-B3</f>
        <v>-488.57500000000073</v>
      </c>
      <c r="F4" s="1">
        <f>IF(B3=0,"",(B4-B3)/B3)</f>
        <v>-0.1057725863954687</v>
      </c>
      <c r="G4" s="1" t="str">
        <f>IF(ABS(F4-$H$3) &gt; 2*$H$4, "Anomaly", "Normal")</f>
        <v>Normal</v>
      </c>
      <c r="H4" s="1">
        <f>_xlfn.STDEV.P(F:F)</f>
        <v>2.6686128966966791</v>
      </c>
      <c r="I4" s="1" t="s">
        <v>0</v>
      </c>
    </row>
    <row r="5" spans="1:9" x14ac:dyDescent="0.3">
      <c r="A5" s="2">
        <v>42023</v>
      </c>
      <c r="B5" s="1">
        <v>3092.5439999999999</v>
      </c>
      <c r="C5" s="1">
        <v>22</v>
      </c>
      <c r="D5" s="1">
        <v>140.57018181818182</v>
      </c>
      <c r="E5" s="1">
        <f>B5-B4</f>
        <v>-1037.9890000000005</v>
      </c>
      <c r="F5" s="1">
        <f>IF(B4=0,"",(B5-B4)/B4)</f>
        <v>-0.25129662443079387</v>
      </c>
      <c r="G5" s="1" t="str">
        <f>IF(ABS(F5-$H$3) &gt; 2*$H$4, "Anomaly", "Normal")</f>
        <v>Normal</v>
      </c>
    </row>
    <row r="6" spans="1:9" x14ac:dyDescent="0.3">
      <c r="A6" s="2">
        <v>42030</v>
      </c>
      <c r="B6" s="1">
        <v>2527.9140000000002</v>
      </c>
      <c r="C6" s="1">
        <v>17</v>
      </c>
      <c r="D6" s="1">
        <v>148.70082352941176</v>
      </c>
      <c r="E6" s="1">
        <f>B6-B5</f>
        <v>-564.62999999999965</v>
      </c>
      <c r="F6" s="1">
        <f>IF(B5=0,"",(B6-B5)/B5)</f>
        <v>-0.18257783882783873</v>
      </c>
      <c r="G6" s="1" t="str">
        <f>IF(ABS(F6-$H$3) &gt; 2*$H$4, "Anomaly", "Normal")</f>
        <v>Normal</v>
      </c>
    </row>
    <row r="7" spans="1:9" x14ac:dyDescent="0.3">
      <c r="A7" s="2">
        <v>42037</v>
      </c>
      <c r="B7" s="1">
        <v>968.53400000000011</v>
      </c>
      <c r="C7" s="1">
        <v>15</v>
      </c>
      <c r="D7" s="1">
        <v>64.568933333333334</v>
      </c>
      <c r="E7" s="1">
        <f>B7-B6</f>
        <v>-1559.38</v>
      </c>
      <c r="F7" s="1">
        <f>IF(B6=0,"",(B7-B6)/B6)</f>
        <v>-0.61686433953053776</v>
      </c>
      <c r="G7" s="1" t="str">
        <f>IF(ABS(F7-$H$3) &gt; 2*$H$4, "Anomaly", "Normal")</f>
        <v>Normal</v>
      </c>
    </row>
    <row r="8" spans="1:9" x14ac:dyDescent="0.3">
      <c r="A8" s="2">
        <v>42044</v>
      </c>
      <c r="B8" s="1">
        <v>2771.0540000000001</v>
      </c>
      <c r="C8" s="1">
        <v>15</v>
      </c>
      <c r="D8" s="1">
        <v>184.73693333333333</v>
      </c>
      <c r="E8" s="1">
        <f>B8-B7</f>
        <v>1802.52</v>
      </c>
      <c r="F8" s="1">
        <f>IF(B7=0,"",(B8-B7)/B7)</f>
        <v>1.8610807674278855</v>
      </c>
      <c r="G8" s="1" t="str">
        <f>IF(ABS(F8-$H$3) &gt; 2*$H$4, "Anomaly", "Normal")</f>
        <v>Normal</v>
      </c>
    </row>
    <row r="9" spans="1:9" x14ac:dyDescent="0.3">
      <c r="A9" s="2">
        <v>42051</v>
      </c>
      <c r="B9" s="1">
        <v>224.91200000000001</v>
      </c>
      <c r="C9" s="1">
        <v>10</v>
      </c>
      <c r="D9" s="1">
        <v>22.491199999999999</v>
      </c>
      <c r="E9" s="1">
        <f>B9-B8</f>
        <v>-2546.1420000000003</v>
      </c>
      <c r="F9" s="1">
        <f>IF(B8=0,"",(B9-B8)/B8)</f>
        <v>-0.91883521576988403</v>
      </c>
      <c r="G9" s="1" t="str">
        <f>IF(ABS(F9-$H$3) &gt; 2*$H$4, "Anomaly", "Normal")</f>
        <v>Normal</v>
      </c>
    </row>
    <row r="10" spans="1:9" x14ac:dyDescent="0.3">
      <c r="A10" s="2">
        <v>42058</v>
      </c>
      <c r="B10" s="1">
        <v>2289.643</v>
      </c>
      <c r="C10" s="1">
        <v>15</v>
      </c>
      <c r="D10" s="1">
        <v>152.64286666666666</v>
      </c>
      <c r="E10" s="1">
        <f>B10-B9</f>
        <v>2064.7310000000002</v>
      </c>
      <c r="F10" s="1">
        <f>IF(B9=0,"",(B10-B9)/B9)</f>
        <v>9.1801726897631077</v>
      </c>
      <c r="G10" s="1" t="str">
        <f>IF(ABS(F10-$H$3) &gt; 2*$H$4, "Anomaly", "Normal")</f>
        <v>Anomaly</v>
      </c>
    </row>
    <row r="11" spans="1:9" x14ac:dyDescent="0.3">
      <c r="A11" s="2">
        <v>42065</v>
      </c>
      <c r="B11" s="1">
        <v>4030.7280000000001</v>
      </c>
      <c r="C11" s="1">
        <v>26</v>
      </c>
      <c r="D11" s="1">
        <v>155.02799999999999</v>
      </c>
      <c r="E11" s="1">
        <f>B11-B10</f>
        <v>1741.085</v>
      </c>
      <c r="F11" s="1">
        <f>IF(B10=0,"",(B11-B10)/B10)</f>
        <v>0.76041767209997368</v>
      </c>
      <c r="G11" s="1" t="str">
        <f>IF(ABS(F11-$H$3) &gt; 2*$H$4, "Anomaly", "Normal")</f>
        <v>Normal</v>
      </c>
    </row>
    <row r="12" spans="1:9" x14ac:dyDescent="0.3">
      <c r="A12" s="2">
        <v>42072</v>
      </c>
      <c r="B12" s="1">
        <v>4139.6020000000008</v>
      </c>
      <c r="C12" s="1">
        <v>27</v>
      </c>
      <c r="D12" s="1">
        <v>153.31859259259261</v>
      </c>
      <c r="E12" s="1">
        <f>B12-B11</f>
        <v>108.87400000000071</v>
      </c>
      <c r="F12" s="1">
        <f>IF(B11=0,"",(B12-B11)/B11)</f>
        <v>2.7011001486580265E-2</v>
      </c>
      <c r="G12" s="1" t="str">
        <f>IF(ABS(F12-$H$3) &gt; 2*$H$4, "Anomaly", "Normal")</f>
        <v>Normal</v>
      </c>
    </row>
    <row r="13" spans="1:9" x14ac:dyDescent="0.3">
      <c r="A13" s="2">
        <v>42079</v>
      </c>
      <c r="B13" s="1">
        <v>37703.664999999994</v>
      </c>
      <c r="C13" s="1">
        <v>54</v>
      </c>
      <c r="D13" s="1">
        <v>698.21601851851835</v>
      </c>
      <c r="E13" s="1">
        <f>B13-B12</f>
        <v>33564.062999999995</v>
      </c>
      <c r="F13" s="1">
        <f>IF(B12=0,"",(B13-B12)/B12)</f>
        <v>8.1080410628847872</v>
      </c>
      <c r="G13" s="1" t="str">
        <f>IF(ABS(F13-$H$3) &gt; 2*$H$4, "Anomaly", "Normal")</f>
        <v>Anomaly</v>
      </c>
    </row>
    <row r="14" spans="1:9" x14ac:dyDescent="0.3">
      <c r="A14" s="2">
        <v>42086</v>
      </c>
      <c r="B14" s="1">
        <v>3998.777000000001</v>
      </c>
      <c r="C14" s="1">
        <v>19</v>
      </c>
      <c r="D14" s="1">
        <v>210.46194736842111</v>
      </c>
      <c r="E14" s="1">
        <f>B14-B13</f>
        <v>-33704.887999999992</v>
      </c>
      <c r="F14" s="1">
        <f>IF(B13=0,"",(B14-B13)/B13)</f>
        <v>-0.89394195497970819</v>
      </c>
      <c r="G14" s="1" t="str">
        <f>IF(ABS(F14-$H$3) &gt; 2*$H$4, "Anomaly", "Normal")</f>
        <v>Normal</v>
      </c>
    </row>
    <row r="15" spans="1:9" x14ac:dyDescent="0.3">
      <c r="A15" s="2">
        <v>42093</v>
      </c>
      <c r="B15" s="1">
        <v>10363.901999999998</v>
      </c>
      <c r="C15" s="1">
        <v>48</v>
      </c>
      <c r="D15" s="1">
        <v>215.91462499999997</v>
      </c>
      <c r="E15" s="1">
        <f>B15-B14</f>
        <v>6365.1249999999973</v>
      </c>
      <c r="F15" s="1">
        <f>IF(B14=0,"",(B15-B14)/B14)</f>
        <v>1.5917679330455277</v>
      </c>
      <c r="G15" s="1" t="str">
        <f>IF(ABS(F15-$H$3) &gt; 2*$H$4, "Anomaly", "Normal")</f>
        <v>Normal</v>
      </c>
    </row>
    <row r="16" spans="1:9" x14ac:dyDescent="0.3">
      <c r="A16" s="2">
        <v>42100</v>
      </c>
      <c r="B16" s="1">
        <v>8418.292999999996</v>
      </c>
      <c r="C16" s="1">
        <v>39</v>
      </c>
      <c r="D16" s="1">
        <v>215.85366666666656</v>
      </c>
      <c r="E16" s="1">
        <f>B16-B15</f>
        <v>-1945.6090000000022</v>
      </c>
      <c r="F16" s="1">
        <f>IF(B15=0,"",(B16-B15)/B15)</f>
        <v>-0.18772938995370686</v>
      </c>
      <c r="G16" s="1" t="str">
        <f>IF(ABS(F16-$H$3) &gt; 2*$H$4, "Anomaly", "Normal")</f>
        <v>Normal</v>
      </c>
    </row>
    <row r="17" spans="1:7" x14ac:dyDescent="0.3">
      <c r="A17" s="2">
        <v>42107</v>
      </c>
      <c r="B17" s="1">
        <v>2198.3700000000003</v>
      </c>
      <c r="C17" s="1">
        <v>19</v>
      </c>
      <c r="D17" s="1">
        <v>115.70368421052633</v>
      </c>
      <c r="E17" s="1">
        <f>B17-B16</f>
        <v>-6219.9229999999952</v>
      </c>
      <c r="F17" s="1">
        <f>IF(B16=0,"",(B17-B16)/B16)</f>
        <v>-0.7388579846294252</v>
      </c>
      <c r="G17" s="1" t="str">
        <f>IF(ABS(F17-$H$3) &gt; 2*$H$4, "Anomaly", "Normal")</f>
        <v>Normal</v>
      </c>
    </row>
    <row r="18" spans="1:7" x14ac:dyDescent="0.3">
      <c r="A18" s="2">
        <v>42114</v>
      </c>
      <c r="B18" s="1">
        <v>5660.1040000000003</v>
      </c>
      <c r="C18" s="1">
        <v>24</v>
      </c>
      <c r="D18" s="1">
        <v>235.83766666666668</v>
      </c>
      <c r="E18" s="1">
        <f>B18-B17</f>
        <v>3461.7339999999999</v>
      </c>
      <c r="F18" s="1">
        <f>IF(B17=0,"",(B18-B17)/B17)</f>
        <v>1.5746821508663233</v>
      </c>
      <c r="G18" s="1" t="str">
        <f>IF(ABS(F18-$H$3) &gt; 2*$H$4, "Anomaly", "Normal")</f>
        <v>Normal</v>
      </c>
    </row>
    <row r="19" spans="1:7" x14ac:dyDescent="0.3">
      <c r="A19" s="2">
        <v>42121</v>
      </c>
      <c r="B19" s="1">
        <v>4974.8119999999999</v>
      </c>
      <c r="C19" s="1">
        <v>23</v>
      </c>
      <c r="D19" s="1">
        <v>216.29617391304348</v>
      </c>
      <c r="E19" s="1">
        <f>B19-B18</f>
        <v>-685.29200000000037</v>
      </c>
      <c r="F19" s="1">
        <f>IF(B18=0,"",(B19-B18)/B18)</f>
        <v>-0.12107410040522229</v>
      </c>
      <c r="G19" s="1" t="str">
        <f>IF(ABS(F19-$H$3) &gt; 2*$H$4, "Anomaly", "Normal")</f>
        <v>Normal</v>
      </c>
    </row>
    <row r="20" spans="1:7" x14ac:dyDescent="0.3">
      <c r="A20" s="2">
        <v>42128</v>
      </c>
      <c r="B20" s="1">
        <v>6332.4639999999999</v>
      </c>
      <c r="C20" s="1">
        <v>35</v>
      </c>
      <c r="D20" s="1">
        <v>180.92754285714287</v>
      </c>
      <c r="E20" s="1">
        <f>B20-B19</f>
        <v>1357.652</v>
      </c>
      <c r="F20" s="1">
        <f>IF(B19=0,"",(B20-B19)/B19)</f>
        <v>0.27290518717089213</v>
      </c>
      <c r="G20" s="1" t="str">
        <f>IF(ABS(F20-$H$3) &gt; 2*$H$4, "Anomaly", "Normal")</f>
        <v>Normal</v>
      </c>
    </row>
    <row r="21" spans="1:7" x14ac:dyDescent="0.3">
      <c r="A21" s="2">
        <v>42135</v>
      </c>
      <c r="B21" s="1">
        <v>3967.8700000000003</v>
      </c>
      <c r="C21" s="1">
        <v>20</v>
      </c>
      <c r="D21" s="1">
        <v>198.39350000000002</v>
      </c>
      <c r="E21" s="1">
        <f>B21-B20</f>
        <v>-2364.5939999999996</v>
      </c>
      <c r="F21" s="1">
        <f>IF(B20=0,"",(B21-B20)/B20)</f>
        <v>-0.37340820255748786</v>
      </c>
      <c r="G21" s="1" t="str">
        <f>IF(ABS(F21-$H$3) &gt; 2*$H$4, "Anomaly", "Normal")</f>
        <v>Normal</v>
      </c>
    </row>
    <row r="22" spans="1:7" x14ac:dyDescent="0.3">
      <c r="A22" s="2">
        <v>42142</v>
      </c>
      <c r="B22" s="1">
        <v>6241.9839999999986</v>
      </c>
      <c r="C22" s="1">
        <v>32</v>
      </c>
      <c r="D22" s="1">
        <v>195.06199999999995</v>
      </c>
      <c r="E22" s="1">
        <f>B22-B21</f>
        <v>2274.1139999999982</v>
      </c>
      <c r="F22" s="1">
        <f>IF(B21=0,"",(B22-B21)/B21)</f>
        <v>0.57313218427014945</v>
      </c>
      <c r="G22" s="1" t="str">
        <f>IF(ABS(F22-$H$3) &gt; 2*$H$4, "Anomaly", "Normal")</f>
        <v>Normal</v>
      </c>
    </row>
    <row r="23" spans="1:7" x14ac:dyDescent="0.3">
      <c r="A23" s="2">
        <v>42149</v>
      </c>
      <c r="B23" s="1">
        <v>6523.2329999999984</v>
      </c>
      <c r="C23" s="1">
        <v>29</v>
      </c>
      <c r="D23" s="1">
        <v>224.93906896551718</v>
      </c>
      <c r="E23" s="1">
        <f>B23-B22</f>
        <v>281.2489999999998</v>
      </c>
      <c r="F23" s="1">
        <f>IF(B22=0,"",(B23-B22)/B22)</f>
        <v>4.5057629112794886E-2</v>
      </c>
      <c r="G23" s="1" t="str">
        <f>IF(ABS(F23-$H$3) &gt; 2*$H$4, "Anomaly", "Normal")</f>
        <v>Normal</v>
      </c>
    </row>
    <row r="24" spans="1:7" x14ac:dyDescent="0.3">
      <c r="A24" s="2">
        <v>42156</v>
      </c>
      <c r="B24" s="1">
        <v>8569.9479999999985</v>
      </c>
      <c r="C24" s="1">
        <v>34</v>
      </c>
      <c r="D24" s="1">
        <v>252.05729411764702</v>
      </c>
      <c r="E24" s="1">
        <f>B24-B23</f>
        <v>2046.7150000000001</v>
      </c>
      <c r="F24" s="1">
        <f>IF(B23=0,"",(B24-B23)/B23)</f>
        <v>0.31375776397991617</v>
      </c>
      <c r="G24" s="1" t="str">
        <f>IF(ABS(F24-$H$3) &gt; 2*$H$4, "Anomaly", "Normal")</f>
        <v>Normal</v>
      </c>
    </row>
    <row r="25" spans="1:7" x14ac:dyDescent="0.3">
      <c r="A25" s="2">
        <v>42163</v>
      </c>
      <c r="B25" s="1">
        <v>8683.2819999999992</v>
      </c>
      <c r="C25" s="1">
        <v>23</v>
      </c>
      <c r="D25" s="1">
        <v>377.53399999999999</v>
      </c>
      <c r="E25" s="1">
        <f>B25-B24</f>
        <v>113.33400000000074</v>
      </c>
      <c r="F25" s="1">
        <f>IF(B24=0,"",(B25-B24)/B24)</f>
        <v>1.3224584326532758E-2</v>
      </c>
      <c r="G25" s="1" t="str">
        <f>IF(ABS(F25-$H$3) &gt; 2*$H$4, "Anomaly", "Normal")</f>
        <v>Normal</v>
      </c>
    </row>
    <row r="26" spans="1:7" x14ac:dyDescent="0.3">
      <c r="A26" s="2">
        <v>42170</v>
      </c>
      <c r="B26" s="1">
        <v>11139.444599999999</v>
      </c>
      <c r="C26" s="1">
        <v>40</v>
      </c>
      <c r="D26" s="1">
        <v>278.48611499999998</v>
      </c>
      <c r="E26" s="1">
        <f>B26-B25</f>
        <v>2456.1625999999997</v>
      </c>
      <c r="F26" s="1">
        <f>IF(B25=0,"",(B26-B25)/B25)</f>
        <v>0.28286108869895044</v>
      </c>
      <c r="G26" s="1" t="str">
        <f>IF(ABS(F26-$H$3) &gt; 2*$H$4, "Anomaly", "Normal")</f>
        <v>Normal</v>
      </c>
    </row>
    <row r="27" spans="1:7" x14ac:dyDescent="0.3">
      <c r="A27" s="2">
        <v>42177</v>
      </c>
      <c r="B27" s="1">
        <v>5143.9569999999994</v>
      </c>
      <c r="C27" s="1">
        <v>24</v>
      </c>
      <c r="D27" s="1">
        <v>214.33154166666665</v>
      </c>
      <c r="E27" s="1">
        <f>B27-B26</f>
        <v>-5995.4875999999995</v>
      </c>
      <c r="F27" s="1">
        <f>IF(B26=0,"",(B27-B26)/B26)</f>
        <v>-0.53822141186464545</v>
      </c>
      <c r="G27" s="1" t="str">
        <f>IF(ABS(F27-$H$3) &gt; 2*$H$4, "Anomaly", "Normal")</f>
        <v>Normal</v>
      </c>
    </row>
    <row r="28" spans="1:7" x14ac:dyDescent="0.3">
      <c r="A28" s="2">
        <v>42184</v>
      </c>
      <c r="B28" s="1">
        <v>3158.4</v>
      </c>
      <c r="C28" s="1">
        <v>29</v>
      </c>
      <c r="D28" s="1">
        <v>108.91034482758621</v>
      </c>
      <c r="E28" s="1">
        <f>B28-B27</f>
        <v>-1985.5569999999993</v>
      </c>
      <c r="F28" s="1">
        <f>IF(B27=0,"",(B28-B27)/B27)</f>
        <v>-0.3859979778213542</v>
      </c>
      <c r="G28" s="1" t="str">
        <f>IF(ABS(F28-$H$3) &gt; 2*$H$4, "Anomaly", "Normal")</f>
        <v>Normal</v>
      </c>
    </row>
    <row r="29" spans="1:7" x14ac:dyDescent="0.3">
      <c r="A29" s="2">
        <v>42191</v>
      </c>
      <c r="B29" s="1">
        <v>6290.6290000000008</v>
      </c>
      <c r="C29" s="1">
        <v>37</v>
      </c>
      <c r="D29" s="1">
        <v>170.01700000000002</v>
      </c>
      <c r="E29" s="1">
        <f>B29-B28</f>
        <v>3132.2290000000007</v>
      </c>
      <c r="F29" s="1">
        <f>IF(B28=0,"",(B29-B28)/B28)</f>
        <v>0.99171384245187455</v>
      </c>
      <c r="G29" s="1" t="str">
        <f>IF(ABS(F29-$H$3) &gt; 2*$H$4, "Anomaly", "Normal")</f>
        <v>Normal</v>
      </c>
    </row>
    <row r="30" spans="1:7" x14ac:dyDescent="0.3">
      <c r="A30" s="2">
        <v>42198</v>
      </c>
      <c r="B30" s="1">
        <v>1387.6860000000001</v>
      </c>
      <c r="C30" s="1">
        <v>19</v>
      </c>
      <c r="D30" s="1">
        <v>73.036105263157907</v>
      </c>
      <c r="E30" s="1">
        <f>B30-B29</f>
        <v>-4902.9430000000011</v>
      </c>
      <c r="F30" s="1">
        <f>IF(B29=0,"",(B30-B29)/B29)</f>
        <v>-0.77940425353331133</v>
      </c>
      <c r="G30" s="1" t="str">
        <f>IF(ABS(F30-$H$3) &gt; 2*$H$4, "Anomaly", "Normal")</f>
        <v>Normal</v>
      </c>
    </row>
    <row r="31" spans="1:7" x14ac:dyDescent="0.3">
      <c r="A31" s="2">
        <v>42205</v>
      </c>
      <c r="B31" s="1">
        <v>21590.079999999994</v>
      </c>
      <c r="C31" s="1">
        <v>60</v>
      </c>
      <c r="D31" s="1">
        <v>359.83466666666658</v>
      </c>
      <c r="E31" s="1">
        <f>B31-B30</f>
        <v>20202.393999999993</v>
      </c>
      <c r="F31" s="1">
        <f>IF(B30=0,"",(B31-B30)/B30)</f>
        <v>14.558332360490768</v>
      </c>
      <c r="G31" s="1" t="str">
        <f>IF(ABS(F31-$H$3) &gt; 2*$H$4, "Anomaly", "Normal")</f>
        <v>Anomaly</v>
      </c>
    </row>
    <row r="32" spans="1:7" x14ac:dyDescent="0.3">
      <c r="A32" s="2">
        <v>42212</v>
      </c>
      <c r="B32" s="1">
        <v>3255.66</v>
      </c>
      <c r="C32" s="1">
        <v>16</v>
      </c>
      <c r="D32" s="1">
        <v>203.47874999999999</v>
      </c>
      <c r="E32" s="1">
        <f>B32-B31</f>
        <v>-18334.419999999995</v>
      </c>
      <c r="F32" s="1">
        <f>IF(B31=0,"",(B32-B31)/B31)</f>
        <v>-0.8492057463427648</v>
      </c>
      <c r="G32" s="1" t="str">
        <f>IF(ABS(F32-$H$3) &gt; 2*$H$4, "Anomaly", "Normal")</f>
        <v>Normal</v>
      </c>
    </row>
    <row r="33" spans="1:7" x14ac:dyDescent="0.3">
      <c r="A33" s="2">
        <v>42219</v>
      </c>
      <c r="B33" s="1">
        <v>13454.075999999995</v>
      </c>
      <c r="C33" s="1">
        <v>51</v>
      </c>
      <c r="D33" s="1">
        <v>263.80541176470581</v>
      </c>
      <c r="E33" s="1">
        <f>B33-B32</f>
        <v>10198.415999999996</v>
      </c>
      <c r="F33" s="1">
        <f>IF(B32=0,"",(B33-B32)/B32)</f>
        <v>3.132518751958127</v>
      </c>
      <c r="G33" s="1" t="str">
        <f>IF(ABS(F33-$H$3) &gt; 2*$H$4, "Anomaly", "Normal")</f>
        <v>Normal</v>
      </c>
    </row>
    <row r="34" spans="1:7" x14ac:dyDescent="0.3">
      <c r="A34" s="2">
        <v>42226</v>
      </c>
      <c r="B34" s="1">
        <v>3187.9420000000009</v>
      </c>
      <c r="C34" s="1">
        <v>18</v>
      </c>
      <c r="D34" s="1">
        <v>177.10788888888894</v>
      </c>
      <c r="E34" s="1">
        <f>B34-B33</f>
        <v>-10266.133999999995</v>
      </c>
      <c r="F34" s="1">
        <f>IF(B33=0,"",(B34-B33)/B33)</f>
        <v>-0.76305009723447359</v>
      </c>
      <c r="G34" s="1" t="str">
        <f>IF(ABS(F34-$H$3) &gt; 2*$H$4, "Anomaly", "Normal")</f>
        <v>Normal</v>
      </c>
    </row>
    <row r="35" spans="1:7" x14ac:dyDescent="0.3">
      <c r="A35" s="2">
        <v>42233</v>
      </c>
      <c r="B35" s="1">
        <v>4366.4980000000005</v>
      </c>
      <c r="C35" s="1">
        <v>29</v>
      </c>
      <c r="D35" s="1">
        <v>150.56889655172415</v>
      </c>
      <c r="E35" s="1">
        <f>B35-B34</f>
        <v>1178.5559999999996</v>
      </c>
      <c r="F35" s="1">
        <f>IF(B34=0,"",(B35-B34)/B34)</f>
        <v>0.3696917948946371</v>
      </c>
      <c r="G35" s="1" t="str">
        <f>IF(ABS(F35-$H$3) &gt; 2*$H$4, "Anomaly", "Normal")</f>
        <v>Normal</v>
      </c>
    </row>
    <row r="36" spans="1:7" x14ac:dyDescent="0.3">
      <c r="A36" s="2">
        <v>42240</v>
      </c>
      <c r="B36" s="1">
        <v>4901.8925000000008</v>
      </c>
      <c r="C36" s="1">
        <v>38</v>
      </c>
      <c r="D36" s="1">
        <v>128.99717105263161</v>
      </c>
      <c r="E36" s="1">
        <f>B36-B35</f>
        <v>535.39450000000033</v>
      </c>
      <c r="F36" s="1">
        <f>IF(B35=0,"",(B36-B35)/B35)</f>
        <v>0.12261416356998223</v>
      </c>
      <c r="G36" s="1" t="str">
        <f>IF(ABS(F36-$H$3) &gt; 2*$H$4, "Anomaly", "Normal")</f>
        <v>Normal</v>
      </c>
    </row>
    <row r="37" spans="1:7" x14ac:dyDescent="0.3">
      <c r="A37" s="2">
        <v>42247</v>
      </c>
      <c r="B37" s="1">
        <v>4234.8500000000004</v>
      </c>
      <c r="C37" s="1">
        <v>21</v>
      </c>
      <c r="D37" s="1">
        <v>201.65952380952382</v>
      </c>
      <c r="E37" s="1">
        <f>B37-B36</f>
        <v>-667.04250000000047</v>
      </c>
      <c r="F37" s="1">
        <f>IF(B36=0,"",(B37-B36)/B36)</f>
        <v>-0.13607856557441853</v>
      </c>
      <c r="G37" s="1" t="str">
        <f>IF(ABS(F37-$H$3) &gt; 2*$H$4, "Anomaly", "Normal")</f>
        <v>Normal</v>
      </c>
    </row>
    <row r="38" spans="1:7" x14ac:dyDescent="0.3">
      <c r="A38" s="2">
        <v>42254</v>
      </c>
      <c r="B38" s="1">
        <v>29959.136999999995</v>
      </c>
      <c r="C38" s="1">
        <v>97</v>
      </c>
      <c r="D38" s="1">
        <v>308.85708247422673</v>
      </c>
      <c r="E38" s="1">
        <f>B38-B37</f>
        <v>25724.286999999997</v>
      </c>
      <c r="F38" s="1">
        <f>IF(B37=0,"",(B38-B37)/B37)</f>
        <v>6.0744269572712124</v>
      </c>
      <c r="G38" s="1" t="str">
        <f>IF(ABS(F38-$H$3) &gt; 2*$H$4, "Anomaly", "Normal")</f>
        <v>Anomaly</v>
      </c>
    </row>
    <row r="39" spans="1:7" x14ac:dyDescent="0.3">
      <c r="A39" s="2">
        <v>42261</v>
      </c>
      <c r="B39" s="1">
        <v>20685.831999999988</v>
      </c>
      <c r="C39" s="1">
        <v>64</v>
      </c>
      <c r="D39" s="1">
        <v>323.21612499999981</v>
      </c>
      <c r="E39" s="1">
        <f>B39-B38</f>
        <v>-9273.3050000000076</v>
      </c>
      <c r="F39" s="1">
        <f>IF(B38=0,"",(B39-B38)/B38)</f>
        <v>-0.30953177990407432</v>
      </c>
      <c r="G39" s="1" t="str">
        <f>IF(ABS(F39-$H$3) &gt; 2*$H$4, "Anomaly", "Normal")</f>
        <v>Normal</v>
      </c>
    </row>
    <row r="40" spans="1:7" x14ac:dyDescent="0.3">
      <c r="A40" s="2">
        <v>42268</v>
      </c>
      <c r="B40" s="1">
        <v>17249.333799999997</v>
      </c>
      <c r="C40" s="1">
        <v>57</v>
      </c>
      <c r="D40" s="1">
        <v>302.61989122807012</v>
      </c>
      <c r="E40" s="1">
        <f>B40-B39</f>
        <v>-3436.4981999999909</v>
      </c>
      <c r="F40" s="1">
        <f>IF(B39=0,"",(B40-B39)/B39)</f>
        <v>-0.166128111259919</v>
      </c>
      <c r="G40" s="1" t="str">
        <f>IF(ABS(F40-$H$3) &gt; 2*$H$4, "Anomaly", "Normal")</f>
        <v>Normal</v>
      </c>
    </row>
    <row r="41" spans="1:7" x14ac:dyDescent="0.3">
      <c r="A41" s="2">
        <v>42275</v>
      </c>
      <c r="B41" s="1">
        <v>11781.179</v>
      </c>
      <c r="C41" s="1">
        <v>54</v>
      </c>
      <c r="D41" s="1">
        <v>218.16998148148147</v>
      </c>
      <c r="E41" s="1">
        <f>B41-B40</f>
        <v>-5468.1547999999966</v>
      </c>
      <c r="F41" s="1">
        <f>IF(B40=0,"",(B41-B40)/B40)</f>
        <v>-0.31700672405098901</v>
      </c>
      <c r="G41" s="1" t="str">
        <f>IF(ABS(F41-$H$3) &gt; 2*$H$4, "Anomaly", "Normal")</f>
        <v>Normal</v>
      </c>
    </row>
    <row r="42" spans="1:7" x14ac:dyDescent="0.3">
      <c r="A42" s="2">
        <v>42282</v>
      </c>
      <c r="B42" s="1">
        <v>4751.2720000000008</v>
      </c>
      <c r="C42" s="1">
        <v>32</v>
      </c>
      <c r="D42" s="1">
        <v>148.47725000000003</v>
      </c>
      <c r="E42" s="1">
        <f>B42-B41</f>
        <v>-7029.9069999999992</v>
      </c>
      <c r="F42" s="1">
        <f>IF(B41=0,"",(B42-B41)/B41)</f>
        <v>-0.59670657749958633</v>
      </c>
      <c r="G42" s="1" t="str">
        <f>IF(ABS(F42-$H$3) &gt; 2*$H$4, "Anomaly", "Normal")</f>
        <v>Normal</v>
      </c>
    </row>
    <row r="43" spans="1:7" x14ac:dyDescent="0.3">
      <c r="A43" s="2">
        <v>42289</v>
      </c>
      <c r="B43" s="1">
        <v>10468.225999999999</v>
      </c>
      <c r="C43" s="1">
        <v>41</v>
      </c>
      <c r="D43" s="1">
        <v>255.32258536585363</v>
      </c>
      <c r="E43" s="1">
        <f>B43-B42</f>
        <v>5716.9539999999979</v>
      </c>
      <c r="F43" s="1">
        <f>IF(B42=0,"",(B43-B42)/B42)</f>
        <v>1.2032470462646627</v>
      </c>
      <c r="G43" s="1" t="str">
        <f>IF(ABS(F43-$H$3) &gt; 2*$H$4, "Anomaly", "Normal")</f>
        <v>Normal</v>
      </c>
    </row>
    <row r="44" spans="1:7" x14ac:dyDescent="0.3">
      <c r="A44" s="2">
        <v>42296</v>
      </c>
      <c r="B44" s="1">
        <v>3882.9900000000002</v>
      </c>
      <c r="C44" s="1">
        <v>29</v>
      </c>
      <c r="D44" s="1">
        <v>133.89620689655175</v>
      </c>
      <c r="E44" s="1">
        <f>B44-B43</f>
        <v>-6585.235999999999</v>
      </c>
      <c r="F44" s="1">
        <f>IF(B43=0,"",(B44-B43)/B43)</f>
        <v>-0.62906895590523171</v>
      </c>
      <c r="G44" s="1" t="str">
        <f>IF(ABS(F44-$H$3) &gt; 2*$H$4, "Anomaly", "Normal")</f>
        <v>Normal</v>
      </c>
    </row>
    <row r="45" spans="1:7" x14ac:dyDescent="0.3">
      <c r="A45" s="2">
        <v>42303</v>
      </c>
      <c r="B45" s="1">
        <v>14794.436</v>
      </c>
      <c r="C45" s="1">
        <v>49</v>
      </c>
      <c r="D45" s="1">
        <v>301.92726530612242</v>
      </c>
      <c r="E45" s="1">
        <f>B45-B44</f>
        <v>10911.446</v>
      </c>
      <c r="F45" s="1">
        <f>IF(B44=0,"",(B45-B44)/B44)</f>
        <v>2.8100628639270253</v>
      </c>
      <c r="G45" s="1" t="str">
        <f>IF(ABS(F45-$H$3) &gt; 2*$H$4, "Anomaly", "Normal")</f>
        <v>Normal</v>
      </c>
    </row>
    <row r="46" spans="1:7" x14ac:dyDescent="0.3">
      <c r="A46" s="2">
        <v>42310</v>
      </c>
      <c r="B46" s="1">
        <v>14934.874999999995</v>
      </c>
      <c r="C46" s="1">
        <v>61</v>
      </c>
      <c r="D46" s="1">
        <v>244.83401639344254</v>
      </c>
      <c r="E46" s="1">
        <f>B46-B45</f>
        <v>140.43899999999485</v>
      </c>
      <c r="F46" s="1">
        <f>IF(B45=0,"",(B46-B45)/B45)</f>
        <v>9.4926903600782656E-3</v>
      </c>
      <c r="G46" s="1" t="str">
        <f>IF(ABS(F46-$H$3) &gt; 2*$H$4, "Anomaly", "Normal")</f>
        <v>Normal</v>
      </c>
    </row>
    <row r="47" spans="1:7" x14ac:dyDescent="0.3">
      <c r="A47" s="2">
        <v>42317</v>
      </c>
      <c r="B47" s="1">
        <v>15130.829200000006</v>
      </c>
      <c r="C47" s="1">
        <v>67</v>
      </c>
      <c r="D47" s="1">
        <v>225.83327164179113</v>
      </c>
      <c r="E47" s="1">
        <f>B47-B46</f>
        <v>195.95420000001104</v>
      </c>
      <c r="F47" s="1">
        <f>IF(B46=0,"",(B47-B46)/B46)</f>
        <v>1.3120578511705731E-2</v>
      </c>
      <c r="G47" s="1" t="str">
        <f>IF(ABS(F47-$H$3) &gt; 2*$H$4, "Anomaly", "Normal")</f>
        <v>Normal</v>
      </c>
    </row>
    <row r="48" spans="1:7" x14ac:dyDescent="0.3">
      <c r="A48" s="2">
        <v>42324</v>
      </c>
      <c r="B48" s="1">
        <v>26793.623499999998</v>
      </c>
      <c r="C48" s="1">
        <v>77</v>
      </c>
      <c r="D48" s="1">
        <v>347.96913636363632</v>
      </c>
      <c r="E48" s="1">
        <f>B48-B47</f>
        <v>11662.794299999992</v>
      </c>
      <c r="F48" s="1">
        <f>IF(B47=0,"",(B48-B47)/B47)</f>
        <v>0.77079677166668359</v>
      </c>
      <c r="G48" s="1" t="str">
        <f>IF(ABS(F48-$H$3) &gt; 2*$H$4, "Anomaly", "Normal")</f>
        <v>Normal</v>
      </c>
    </row>
    <row r="49" spans="1:7" x14ac:dyDescent="0.3">
      <c r="A49" s="2">
        <v>42331</v>
      </c>
      <c r="B49" s="1">
        <v>16191.362999999999</v>
      </c>
      <c r="C49" s="1">
        <v>80</v>
      </c>
      <c r="D49" s="1">
        <v>202.39203749999999</v>
      </c>
      <c r="E49" s="1">
        <f>B49-B48</f>
        <v>-10602.260499999999</v>
      </c>
      <c r="F49" s="1">
        <f>IF(B48=0,"",(B49-B48)/B48)</f>
        <v>-0.39570088383155788</v>
      </c>
      <c r="G49" s="1" t="str">
        <f>IF(ABS(F49-$H$3) &gt; 2*$H$4, "Anomaly", "Normal")</f>
        <v>Normal</v>
      </c>
    </row>
    <row r="50" spans="1:7" x14ac:dyDescent="0.3">
      <c r="A50" s="2">
        <v>42338</v>
      </c>
      <c r="B50" s="1">
        <v>13185.831999999997</v>
      </c>
      <c r="C50" s="1">
        <v>60</v>
      </c>
      <c r="D50" s="1">
        <v>219.76386666666662</v>
      </c>
      <c r="E50" s="1">
        <f>B50-B49</f>
        <v>-3005.5310000000027</v>
      </c>
      <c r="F50" s="1">
        <f>IF(B49=0,"",(B50-B49)/B49)</f>
        <v>-0.18562557086762879</v>
      </c>
      <c r="G50" s="1" t="str">
        <f>IF(ABS(F50-$H$3) &gt; 2*$H$4, "Anomaly", "Normal")</f>
        <v>Normal</v>
      </c>
    </row>
    <row r="51" spans="1:7" x14ac:dyDescent="0.3">
      <c r="A51" s="2">
        <v>42345</v>
      </c>
      <c r="B51" s="1">
        <v>8971.0644999999986</v>
      </c>
      <c r="C51" s="1">
        <v>45</v>
      </c>
      <c r="D51" s="1">
        <v>199.35698888888885</v>
      </c>
      <c r="E51" s="1">
        <f>B51-B50</f>
        <v>-4214.7674999999981</v>
      </c>
      <c r="F51" s="1">
        <f>IF(B50=0,"",(B51-B50)/B50)</f>
        <v>-0.31964365236869385</v>
      </c>
      <c r="G51" s="1" t="str">
        <f>IF(ABS(F51-$H$3) &gt; 2*$H$4, "Anomaly", "Normal")</f>
        <v>Normal</v>
      </c>
    </row>
    <row r="52" spans="1:7" x14ac:dyDescent="0.3">
      <c r="A52" s="2">
        <v>42352</v>
      </c>
      <c r="B52" s="1">
        <v>23416.453000000001</v>
      </c>
      <c r="C52" s="1">
        <v>65</v>
      </c>
      <c r="D52" s="1">
        <v>360.25312307692309</v>
      </c>
      <c r="E52" s="1">
        <f>B52-B51</f>
        <v>14445.388500000003</v>
      </c>
      <c r="F52" s="1">
        <f>IF(B51=0,"",(B52-B51)/B51)</f>
        <v>1.6102201137891723</v>
      </c>
      <c r="G52" s="1" t="str">
        <f>IF(ABS(F52-$H$3) &gt; 2*$H$4, "Anomaly", "Normal")</f>
        <v>Normal</v>
      </c>
    </row>
    <row r="53" spans="1:7" x14ac:dyDescent="0.3">
      <c r="A53" s="2">
        <v>42359</v>
      </c>
      <c r="B53" s="1">
        <v>10632.519999999999</v>
      </c>
      <c r="C53" s="1">
        <v>61</v>
      </c>
      <c r="D53" s="1">
        <v>174.30360655737704</v>
      </c>
      <c r="E53" s="1">
        <f>B53-B52</f>
        <v>-12783.933000000003</v>
      </c>
      <c r="F53" s="1">
        <f>IF(B52=0,"",(B53-B52)/B52)</f>
        <v>-0.54593806329250638</v>
      </c>
      <c r="G53" s="1" t="str">
        <f>IF(ABS(F53-$H$3) &gt; 2*$H$4, "Anomaly", "Normal")</f>
        <v>Normal</v>
      </c>
    </row>
    <row r="54" spans="1:7" x14ac:dyDescent="0.3">
      <c r="A54" s="2">
        <v>42366</v>
      </c>
      <c r="B54" s="1">
        <v>15880.660599999999</v>
      </c>
      <c r="C54" s="1">
        <v>59</v>
      </c>
      <c r="D54" s="1">
        <v>269.16373898305085</v>
      </c>
      <c r="E54" s="1">
        <f>B54-B53</f>
        <v>5248.1406000000006</v>
      </c>
      <c r="F54" s="1">
        <f>IF(B53=0,"",(B54-B53)/B53)</f>
        <v>0.49359329679135344</v>
      </c>
      <c r="G54" s="1" t="str">
        <f>IF(ABS(F54-$H$3) &gt; 2*$H$4, "Anomaly", "Normal")</f>
        <v>Normal</v>
      </c>
    </row>
    <row r="55" spans="1:7" x14ac:dyDescent="0.3">
      <c r="A55" s="2">
        <v>42373</v>
      </c>
      <c r="B55" s="1">
        <v>1973.444</v>
      </c>
      <c r="C55" s="1">
        <v>16</v>
      </c>
      <c r="D55" s="1">
        <v>123.34025</v>
      </c>
      <c r="E55" s="1">
        <f>B55-B54</f>
        <v>-13907.2166</v>
      </c>
      <c r="F55" s="1">
        <f>IF(B54=0,"",(B55-B54)/B54)</f>
        <v>-0.87573287725826721</v>
      </c>
      <c r="G55" s="1" t="str">
        <f>IF(ABS(F55-$H$3) &gt; 2*$H$4, "Anomaly", "Normal")</f>
        <v>Normal</v>
      </c>
    </row>
    <row r="56" spans="1:7" x14ac:dyDescent="0.3">
      <c r="A56" s="2">
        <v>42380</v>
      </c>
      <c r="B56" s="1">
        <v>1720.1580000000001</v>
      </c>
      <c r="C56" s="1">
        <v>12</v>
      </c>
      <c r="D56" s="1">
        <v>143.34650000000002</v>
      </c>
      <c r="E56" s="1">
        <f>B56-B55</f>
        <v>-253.28599999999983</v>
      </c>
      <c r="F56" s="1">
        <f>IF(B55=0,"",(B56-B55)/B55)</f>
        <v>-0.12834719404249617</v>
      </c>
      <c r="G56" s="1" t="str">
        <f>IF(ABS(F56-$H$3) &gt; 2*$H$4, "Anomaly", "Normal")</f>
        <v>Normal</v>
      </c>
    </row>
    <row r="57" spans="1:7" x14ac:dyDescent="0.3">
      <c r="A57" s="2">
        <v>42387</v>
      </c>
      <c r="B57" s="1">
        <v>358.52200000000005</v>
      </c>
      <c r="C57" s="1">
        <v>5</v>
      </c>
      <c r="D57" s="1">
        <v>71.704400000000007</v>
      </c>
      <c r="E57" s="1">
        <f>B57-B56</f>
        <v>-1361.636</v>
      </c>
      <c r="F57" s="1">
        <f>IF(B56=0,"",(B57-B56)/B56)</f>
        <v>-0.79157612265849986</v>
      </c>
      <c r="G57" s="1" t="str">
        <f>IF(ABS(F57-$H$3) &gt; 2*$H$4, "Anomaly", "Normal")</f>
        <v>Normal</v>
      </c>
    </row>
    <row r="58" spans="1:7" x14ac:dyDescent="0.3">
      <c r="A58" s="2">
        <v>42394</v>
      </c>
      <c r="B58" s="1">
        <v>10314.516</v>
      </c>
      <c r="C58" s="1">
        <v>12</v>
      </c>
      <c r="D58" s="1">
        <v>859.54300000000001</v>
      </c>
      <c r="E58" s="1">
        <f>B58-B57</f>
        <v>9955.9939999999988</v>
      </c>
      <c r="F58" s="1">
        <f>IF(B57=0,"",(B58-B57)/B57)</f>
        <v>27.769548312237458</v>
      </c>
      <c r="G58" s="1" t="str">
        <f>IF(ABS(F58-$H$3) &gt; 2*$H$4, "Anomaly", "Normal")</f>
        <v>Anomaly</v>
      </c>
    </row>
    <row r="59" spans="1:7" x14ac:dyDescent="0.3">
      <c r="A59" s="2">
        <v>42401</v>
      </c>
      <c r="B59" s="1">
        <v>3249.49</v>
      </c>
      <c r="C59" s="1">
        <v>17</v>
      </c>
      <c r="D59" s="1">
        <v>191.14647058823527</v>
      </c>
      <c r="E59" s="1">
        <f>B59-B58</f>
        <v>-7065.0259999999998</v>
      </c>
      <c r="F59" s="1">
        <f>IF(B58=0,"",(B59-B58)/B58)</f>
        <v>-0.68495952694241791</v>
      </c>
      <c r="G59" s="1" t="str">
        <f>IF(ABS(F59-$H$3) &gt; 2*$H$4, "Anomaly", "Normal")</f>
        <v>Normal</v>
      </c>
    </row>
    <row r="60" spans="1:7" x14ac:dyDescent="0.3">
      <c r="A60" s="2">
        <v>42408</v>
      </c>
      <c r="B60" s="1">
        <v>2071.8459999999995</v>
      </c>
      <c r="C60" s="1">
        <v>17</v>
      </c>
      <c r="D60" s="1">
        <v>121.87329411764703</v>
      </c>
      <c r="E60" s="1">
        <f>B60-B59</f>
        <v>-1177.6440000000002</v>
      </c>
      <c r="F60" s="1">
        <f>IF(B59=0,"",(B60-B59)/B59)</f>
        <v>-0.36240887031503416</v>
      </c>
      <c r="G60" s="1" t="str">
        <f>IF(ABS(F60-$H$3) &gt; 2*$H$4, "Anomaly", "Normal")</f>
        <v>Normal</v>
      </c>
    </row>
    <row r="61" spans="1:7" x14ac:dyDescent="0.3">
      <c r="A61" s="2">
        <v>42415</v>
      </c>
      <c r="B61" s="1">
        <v>4776.5340000000006</v>
      </c>
      <c r="C61" s="1">
        <v>18</v>
      </c>
      <c r="D61" s="1">
        <v>265.36300000000006</v>
      </c>
      <c r="E61" s="1">
        <f>B61-B60</f>
        <v>2704.688000000001</v>
      </c>
      <c r="F61" s="1">
        <f>IF(B60=0,"",(B61-B60)/B60)</f>
        <v>1.3054483779199813</v>
      </c>
      <c r="G61" s="1" t="str">
        <f>IF(ABS(F61-$H$3) &gt; 2*$H$4, "Anomaly", "Normal")</f>
        <v>Normal</v>
      </c>
    </row>
    <row r="62" spans="1:7" x14ac:dyDescent="0.3">
      <c r="A62" s="2">
        <v>42422</v>
      </c>
      <c r="B62" s="1">
        <v>1853.5410000000004</v>
      </c>
      <c r="C62" s="1">
        <v>12</v>
      </c>
      <c r="D62" s="1">
        <v>154.46175000000002</v>
      </c>
      <c r="E62" s="1">
        <f>B62-B61</f>
        <v>-2922.9930000000004</v>
      </c>
      <c r="F62" s="1">
        <f>IF(B61=0,"",(B62-B61)/B61)</f>
        <v>-0.61194853841718699</v>
      </c>
      <c r="G62" s="1" t="str">
        <f>IF(ABS(F62-$H$3) &gt; 2*$H$4, "Anomaly", "Normal")</f>
        <v>Normal</v>
      </c>
    </row>
    <row r="63" spans="1:7" x14ac:dyDescent="0.3">
      <c r="A63" s="2">
        <v>42429</v>
      </c>
      <c r="B63" s="1">
        <v>6066.2554000000018</v>
      </c>
      <c r="C63" s="1">
        <v>28</v>
      </c>
      <c r="D63" s="1">
        <v>216.65197857142863</v>
      </c>
      <c r="E63" s="1">
        <f>B63-B62</f>
        <v>4212.7144000000017</v>
      </c>
      <c r="F63" s="1">
        <f>IF(B62=0,"",(B63-B62)/B62)</f>
        <v>2.2727926708931721</v>
      </c>
      <c r="G63" s="1" t="str">
        <f>IF(ABS(F63-$H$3) &gt; 2*$H$4, "Anomaly", "Normal")</f>
        <v>Normal</v>
      </c>
    </row>
    <row r="64" spans="1:7" x14ac:dyDescent="0.3">
      <c r="A64" s="2">
        <v>42436</v>
      </c>
      <c r="B64" s="1">
        <v>5375.6480000000001</v>
      </c>
      <c r="C64" s="1">
        <v>24</v>
      </c>
      <c r="D64" s="1">
        <v>223.98533333333333</v>
      </c>
      <c r="E64" s="1">
        <f>B64-B63</f>
        <v>-690.60740000000169</v>
      </c>
      <c r="F64" s="1">
        <f>IF(B63=0,"",(B64-B63)/B63)</f>
        <v>-0.11384410224468977</v>
      </c>
      <c r="G64" s="1" t="str">
        <f>IF(ABS(F64-$H$3) &gt; 2*$H$4, "Anomaly", "Normal")</f>
        <v>Normal</v>
      </c>
    </row>
    <row r="65" spans="1:7" x14ac:dyDescent="0.3">
      <c r="A65" s="2">
        <v>42443</v>
      </c>
      <c r="B65" s="1">
        <v>13310.135999999999</v>
      </c>
      <c r="C65" s="1">
        <v>31</v>
      </c>
      <c r="D65" s="1">
        <v>429.35922580645155</v>
      </c>
      <c r="E65" s="1">
        <f>B65-B64</f>
        <v>7934.4879999999985</v>
      </c>
      <c r="F65" s="1">
        <f>IF(B64=0,"",(B65-B64)/B64)</f>
        <v>1.4760058694319267</v>
      </c>
      <c r="G65" s="1" t="str">
        <f>IF(ABS(F65-$H$3) &gt; 2*$H$4, "Anomaly", "Normal")</f>
        <v>Normal</v>
      </c>
    </row>
    <row r="66" spans="1:7" x14ac:dyDescent="0.3">
      <c r="A66" s="2">
        <v>42450</v>
      </c>
      <c r="B66" s="1">
        <v>5012.9150000000009</v>
      </c>
      <c r="C66" s="1">
        <v>26</v>
      </c>
      <c r="D66" s="1">
        <v>192.80442307692311</v>
      </c>
      <c r="E66" s="1">
        <f>B66-B65</f>
        <v>-8297.2209999999977</v>
      </c>
      <c r="F66" s="1">
        <f>IF(B65=0,"",(B66-B65)/B65)</f>
        <v>-0.62337612478189541</v>
      </c>
      <c r="G66" s="1" t="str">
        <f>IF(ABS(F66-$H$3) &gt; 2*$H$4, "Anomaly", "Normal")</f>
        <v>Normal</v>
      </c>
    </row>
    <row r="67" spans="1:7" x14ac:dyDescent="0.3">
      <c r="A67" s="2">
        <v>42457</v>
      </c>
      <c r="B67" s="1">
        <v>2873.5840000000007</v>
      </c>
      <c r="C67" s="1">
        <v>25</v>
      </c>
      <c r="D67" s="1">
        <v>114.94336000000003</v>
      </c>
      <c r="E67" s="1">
        <f>B67-B66</f>
        <v>-2139.3310000000001</v>
      </c>
      <c r="F67" s="1">
        <f>IF(B66=0,"",(B67-B66)/B66)</f>
        <v>-0.42676386892656265</v>
      </c>
      <c r="G67" s="1" t="str">
        <f>IF(ABS(F67-$H$3) &gt; 2*$H$4, "Anomaly", "Normal")</f>
        <v>Normal</v>
      </c>
    </row>
    <row r="68" spans="1:7" x14ac:dyDescent="0.3">
      <c r="A68" s="2">
        <v>42464</v>
      </c>
      <c r="B68" s="1">
        <v>6433.6299999999992</v>
      </c>
      <c r="C68" s="1">
        <v>39</v>
      </c>
      <c r="D68" s="1">
        <v>164.96487179487178</v>
      </c>
      <c r="E68" s="1">
        <f>B68-B67</f>
        <v>3560.0459999999985</v>
      </c>
      <c r="F68" s="1">
        <f>IF(B67=0,"",(B68-B67)/B67)</f>
        <v>1.2388870483688654</v>
      </c>
      <c r="G68" s="1" t="str">
        <f>IF(ABS(F68-$H$3) &gt; 2*$H$4, "Anomaly", "Normal")</f>
        <v>Normal</v>
      </c>
    </row>
    <row r="69" spans="1:7" x14ac:dyDescent="0.3">
      <c r="A69" s="2">
        <v>42471</v>
      </c>
      <c r="B69" s="1">
        <v>11463.310000000003</v>
      </c>
      <c r="C69" s="1">
        <v>45</v>
      </c>
      <c r="D69" s="1">
        <v>254.74022222222229</v>
      </c>
      <c r="E69" s="1">
        <f>B69-B68</f>
        <v>5029.6800000000039</v>
      </c>
      <c r="F69" s="1">
        <f>IF(B68=0,"",(B69-B68)/B68)</f>
        <v>0.78177949307000938</v>
      </c>
      <c r="G69" s="1" t="str">
        <f>IF(ABS(F69-$H$3) &gt; 2*$H$4, "Anomaly", "Normal")</f>
        <v>Normal</v>
      </c>
    </row>
    <row r="70" spans="1:7" x14ac:dyDescent="0.3">
      <c r="A70" s="2">
        <v>42478</v>
      </c>
      <c r="B70" s="1">
        <v>4603.6419999999989</v>
      </c>
      <c r="C70" s="1">
        <v>32</v>
      </c>
      <c r="D70" s="1">
        <v>143.86381249999997</v>
      </c>
      <c r="E70" s="1">
        <f>B70-B69</f>
        <v>-6859.6680000000042</v>
      </c>
      <c r="F70" s="1">
        <f>IF(B69=0,"",(B70-B69)/B69)</f>
        <v>-0.59840203222280497</v>
      </c>
      <c r="G70" s="1" t="str">
        <f>IF(ABS(F70-$H$3) &gt; 2*$H$4, "Anomaly", "Normal")</f>
        <v>Normal</v>
      </c>
    </row>
    <row r="71" spans="1:7" x14ac:dyDescent="0.3">
      <c r="A71" s="2">
        <v>42485</v>
      </c>
      <c r="B71" s="1">
        <v>11805.6065</v>
      </c>
      <c r="C71" s="1">
        <v>44</v>
      </c>
      <c r="D71" s="1">
        <v>268.30923863636366</v>
      </c>
      <c r="E71" s="1">
        <f>B71-B70</f>
        <v>7201.964500000001</v>
      </c>
      <c r="F71" s="1">
        <f>IF(B70=0,"",(B71-B70)/B70)</f>
        <v>1.5644058551903042</v>
      </c>
      <c r="G71" s="1" t="str">
        <f>IF(ABS(F71-$H$3) &gt; 2*$H$4, "Anomaly", "Normal")</f>
        <v>Normal</v>
      </c>
    </row>
    <row r="72" spans="1:7" x14ac:dyDescent="0.3">
      <c r="A72" s="2">
        <v>42492</v>
      </c>
      <c r="B72" s="1">
        <v>7774.9440000000004</v>
      </c>
      <c r="C72" s="1">
        <v>33</v>
      </c>
      <c r="D72" s="1">
        <v>235.60436363636364</v>
      </c>
      <c r="E72" s="1">
        <f>B72-B71</f>
        <v>-4030.6624999999995</v>
      </c>
      <c r="F72" s="1">
        <f>IF(B71=0,"",(B72-B71)/B71)</f>
        <v>-0.34141935020449815</v>
      </c>
      <c r="G72" s="1" t="str">
        <f>IF(ABS(F72-$H$3) &gt; 2*$H$4, "Anomaly", "Normal")</f>
        <v>Normal</v>
      </c>
    </row>
    <row r="73" spans="1:7" x14ac:dyDescent="0.3">
      <c r="A73" s="2">
        <v>42499</v>
      </c>
      <c r="B73" s="1">
        <v>4905.0614999999998</v>
      </c>
      <c r="C73" s="1">
        <v>29</v>
      </c>
      <c r="D73" s="1">
        <v>169.14005172413792</v>
      </c>
      <c r="E73" s="1">
        <f>B73-B72</f>
        <v>-2869.8825000000006</v>
      </c>
      <c r="F73" s="1">
        <f>IF(B72=0,"",(B73-B72)/B72)</f>
        <v>-0.36911937886626583</v>
      </c>
      <c r="G73" s="1" t="str">
        <f>IF(ABS(F73-$H$3) &gt; 2*$H$4, "Anomaly", "Normal")</f>
        <v>Normal</v>
      </c>
    </row>
    <row r="74" spans="1:7" x14ac:dyDescent="0.3">
      <c r="A74" s="2">
        <v>42506</v>
      </c>
      <c r="B74" s="1">
        <v>4418.17</v>
      </c>
      <c r="C74" s="1">
        <v>13</v>
      </c>
      <c r="D74" s="1">
        <v>339.85923076923075</v>
      </c>
      <c r="E74" s="1">
        <f>B74-B73</f>
        <v>-486.89149999999972</v>
      </c>
      <c r="F74" s="1">
        <f>IF(B73=0,"",(B74-B73)/B73)</f>
        <v>-9.9263077537355998E-2</v>
      </c>
      <c r="G74" s="1" t="str">
        <f>IF(ABS(F74-$H$3) &gt; 2*$H$4, "Anomaly", "Normal")</f>
        <v>Normal</v>
      </c>
    </row>
    <row r="75" spans="1:7" x14ac:dyDescent="0.3">
      <c r="A75" s="2">
        <v>42513</v>
      </c>
      <c r="B75" s="1">
        <v>6551.1770000000006</v>
      </c>
      <c r="C75" s="1">
        <v>40</v>
      </c>
      <c r="D75" s="1">
        <v>163.779425</v>
      </c>
      <c r="E75" s="1">
        <f>B75-B74</f>
        <v>2133.0070000000005</v>
      </c>
      <c r="F75" s="1">
        <f>IF(B74=0,"",(B75-B74)/B74)</f>
        <v>0.48278065352849719</v>
      </c>
      <c r="G75" s="1" t="str">
        <f>IF(ABS(F75-$H$3) &gt; 2*$H$4, "Anomaly", "Normal")</f>
        <v>Normal</v>
      </c>
    </row>
    <row r="76" spans="1:7" x14ac:dyDescent="0.3">
      <c r="A76" s="2">
        <v>42520</v>
      </c>
      <c r="B76" s="1">
        <v>9418.9439999999995</v>
      </c>
      <c r="C76" s="1">
        <v>36</v>
      </c>
      <c r="D76" s="1">
        <v>261.63733333333334</v>
      </c>
      <c r="E76" s="1">
        <f>B76-B75</f>
        <v>2867.7669999999989</v>
      </c>
      <c r="F76" s="1">
        <f>IF(B75=0,"",(B76-B75)/B75)</f>
        <v>0.43774836185925042</v>
      </c>
      <c r="G76" s="1" t="str">
        <f>IF(ABS(F76-$H$3) &gt; 2*$H$4, "Anomaly", "Normal")</f>
        <v>Normal</v>
      </c>
    </row>
    <row r="77" spans="1:7" x14ac:dyDescent="0.3">
      <c r="A77" s="2">
        <v>42527</v>
      </c>
      <c r="B77" s="1">
        <v>4550.4280000000008</v>
      </c>
      <c r="C77" s="1">
        <v>31</v>
      </c>
      <c r="D77" s="1">
        <v>146.78800000000004</v>
      </c>
      <c r="E77" s="1">
        <f>B77-B76</f>
        <v>-4868.5159999999987</v>
      </c>
      <c r="F77" s="1">
        <f>IF(B76=0,"",(B77-B76)/B76)</f>
        <v>-0.51688554470649772</v>
      </c>
      <c r="G77" s="1" t="str">
        <f>IF(ABS(F77-$H$3) &gt; 2*$H$4, "Anomaly", "Normal")</f>
        <v>Normal</v>
      </c>
    </row>
    <row r="78" spans="1:7" x14ac:dyDescent="0.3">
      <c r="A78" s="2">
        <v>42534</v>
      </c>
      <c r="B78" s="1">
        <v>7687.4510000000009</v>
      </c>
      <c r="C78" s="1">
        <v>43</v>
      </c>
      <c r="D78" s="1">
        <v>178.77793023255816</v>
      </c>
      <c r="E78" s="1">
        <f>B78-B77</f>
        <v>3137.0230000000001</v>
      </c>
      <c r="F78" s="1">
        <f>IF(B77=0,"",(B78-B77)/B77)</f>
        <v>0.68939075621018497</v>
      </c>
      <c r="G78" s="1" t="str">
        <f>IF(ABS(F78-$H$3) &gt; 2*$H$4, "Anomaly", "Normal")</f>
        <v>Normal</v>
      </c>
    </row>
    <row r="79" spans="1:7" x14ac:dyDescent="0.3">
      <c r="A79" s="2">
        <v>42541</v>
      </c>
      <c r="B79" s="1">
        <v>6242.7070000000012</v>
      </c>
      <c r="C79" s="1">
        <v>32</v>
      </c>
      <c r="D79" s="1">
        <v>195.08459375000004</v>
      </c>
      <c r="E79" s="1">
        <f>B79-B78</f>
        <v>-1444.7439999999997</v>
      </c>
      <c r="F79" s="1">
        <f>IF(B78=0,"",(B79-B78)/B78)</f>
        <v>-0.18793537675882416</v>
      </c>
      <c r="G79" s="1" t="str">
        <f>IF(ABS(F79-$H$3) &gt; 2*$H$4, "Anomaly", "Normal")</f>
        <v>Normal</v>
      </c>
    </row>
    <row r="80" spans="1:7" x14ac:dyDescent="0.3">
      <c r="A80" s="2">
        <v>42548</v>
      </c>
      <c r="B80" s="1">
        <v>4014.9660000000003</v>
      </c>
      <c r="C80" s="1">
        <v>26</v>
      </c>
      <c r="D80" s="1">
        <v>154.42176923076926</v>
      </c>
      <c r="E80" s="1">
        <f>B80-B79</f>
        <v>-2227.7410000000009</v>
      </c>
      <c r="F80" s="1">
        <f>IF(B79=0,"",(B80-B79)/B79)</f>
        <v>-0.35685496692380414</v>
      </c>
      <c r="G80" s="1" t="str">
        <f>IF(ABS(F80-$H$3) &gt; 2*$H$4, "Anomaly", "Normal")</f>
        <v>Normal</v>
      </c>
    </row>
    <row r="81" spans="1:7" x14ac:dyDescent="0.3">
      <c r="A81" s="2">
        <v>42555</v>
      </c>
      <c r="B81" s="1">
        <v>4291.2659999999996</v>
      </c>
      <c r="C81" s="1">
        <v>34</v>
      </c>
      <c r="D81" s="1">
        <v>126.21370588235293</v>
      </c>
      <c r="E81" s="1">
        <f>B81-B80</f>
        <v>276.29999999999927</v>
      </c>
      <c r="F81" s="1">
        <f>IF(B80=0,"",(B81-B80)/B80)</f>
        <v>6.88175192517195E-2</v>
      </c>
      <c r="G81" s="1" t="str">
        <f>IF(ABS(F81-$H$3) &gt; 2*$H$4, "Anomaly", "Normal")</f>
        <v>Normal</v>
      </c>
    </row>
    <row r="82" spans="1:7" x14ac:dyDescent="0.3">
      <c r="A82" s="2">
        <v>42562</v>
      </c>
      <c r="B82" s="1">
        <v>10366.158999999998</v>
      </c>
      <c r="C82" s="1">
        <v>39</v>
      </c>
      <c r="D82" s="1">
        <v>265.79894871794869</v>
      </c>
      <c r="E82" s="1">
        <f>B82-B81</f>
        <v>6074.8929999999982</v>
      </c>
      <c r="F82" s="1">
        <f>IF(B81=0,"",(B82-B81)/B81)</f>
        <v>1.4156412117076869</v>
      </c>
      <c r="G82" s="1" t="str">
        <f>IF(ABS(F82-$H$3) &gt; 2*$H$4, "Anomaly", "Normal")</f>
        <v>Normal</v>
      </c>
    </row>
    <row r="83" spans="1:7" x14ac:dyDescent="0.3">
      <c r="A83" s="2">
        <v>42569</v>
      </c>
      <c r="B83" s="1">
        <v>3955.1350000000007</v>
      </c>
      <c r="C83" s="1">
        <v>20</v>
      </c>
      <c r="D83" s="1">
        <v>197.75675000000004</v>
      </c>
      <c r="E83" s="1">
        <f>B83-B82</f>
        <v>-6411.0239999999976</v>
      </c>
      <c r="F83" s="1">
        <f>IF(B82=0,"",(B83-B82)/B82)</f>
        <v>-0.61845703890901138</v>
      </c>
      <c r="G83" s="1" t="str">
        <f>IF(ABS(F83-$H$3) &gt; 2*$H$4, "Anomaly", "Normal")</f>
        <v>Normal</v>
      </c>
    </row>
    <row r="84" spans="1:7" x14ac:dyDescent="0.3">
      <c r="A84" s="2">
        <v>42576</v>
      </c>
      <c r="B84" s="1">
        <v>7539.8150000000005</v>
      </c>
      <c r="C84" s="1">
        <v>25</v>
      </c>
      <c r="D84" s="1">
        <v>301.5926</v>
      </c>
      <c r="E84" s="1">
        <f>B84-B83</f>
        <v>3584.68</v>
      </c>
      <c r="F84" s="1">
        <f>IF(B83=0,"",(B84-B83)/B83)</f>
        <v>0.90633568765667905</v>
      </c>
      <c r="G84" s="1" t="str">
        <f>IF(ABS(F84-$H$3) &gt; 2*$H$4, "Anomaly", "Normal")</f>
        <v>Normal</v>
      </c>
    </row>
    <row r="85" spans="1:7" x14ac:dyDescent="0.3">
      <c r="A85" s="2">
        <v>42583</v>
      </c>
      <c r="B85" s="1">
        <v>3837.8992000000007</v>
      </c>
      <c r="C85" s="1">
        <v>26</v>
      </c>
      <c r="D85" s="1">
        <v>147.61150769230773</v>
      </c>
      <c r="E85" s="1">
        <f>B85-B84</f>
        <v>-3701.9157999999998</v>
      </c>
      <c r="F85" s="1">
        <f>IF(B84=0,"",(B85-B84)/B84)</f>
        <v>-0.49098231190022562</v>
      </c>
      <c r="G85" s="1" t="str">
        <f>IF(ABS(F85-$H$3) &gt; 2*$H$4, "Anomaly", "Normal")</f>
        <v>Normal</v>
      </c>
    </row>
    <row r="86" spans="1:7" x14ac:dyDescent="0.3">
      <c r="A86" s="2">
        <v>42590</v>
      </c>
      <c r="B86" s="1">
        <v>7272.9860000000008</v>
      </c>
      <c r="C86" s="1">
        <v>39</v>
      </c>
      <c r="D86" s="1">
        <v>186.48682051282054</v>
      </c>
      <c r="E86" s="1">
        <f>B86-B85</f>
        <v>3435.0868</v>
      </c>
      <c r="F86" s="1">
        <f>IF(B85=0,"",(B86-B85)/B85)</f>
        <v>0.89504351755773037</v>
      </c>
      <c r="G86" s="1" t="str">
        <f>IF(ABS(F86-$H$3) &gt; 2*$H$4, "Anomaly", "Normal")</f>
        <v>Normal</v>
      </c>
    </row>
    <row r="87" spans="1:7" x14ac:dyDescent="0.3">
      <c r="A87" s="2">
        <v>42597</v>
      </c>
      <c r="B87" s="1">
        <v>7085.6820000000025</v>
      </c>
      <c r="C87" s="1">
        <v>37</v>
      </c>
      <c r="D87" s="1">
        <v>191.50491891891897</v>
      </c>
      <c r="E87" s="1">
        <f>B87-B86</f>
        <v>-187.30399999999827</v>
      </c>
      <c r="F87" s="1">
        <f>IF(B86=0,"",(B87-B86)/B86)</f>
        <v>-2.5753383823370241E-2</v>
      </c>
      <c r="G87" s="1" t="str">
        <f>IF(ABS(F87-$H$3) &gt; 2*$H$4, "Anomaly", "Normal")</f>
        <v>Normal</v>
      </c>
    </row>
    <row r="88" spans="1:7" x14ac:dyDescent="0.3">
      <c r="A88" s="2">
        <v>42604</v>
      </c>
      <c r="B88" s="1">
        <v>15773.477999999999</v>
      </c>
      <c r="C88" s="1">
        <v>47</v>
      </c>
      <c r="D88" s="1">
        <v>335.60591489361701</v>
      </c>
      <c r="E88" s="1">
        <f>B88-B87</f>
        <v>8687.7959999999966</v>
      </c>
      <c r="F88" s="1">
        <f>IF(B87=0,"",(B88-B87)/B87)</f>
        <v>1.2261058286273634</v>
      </c>
      <c r="G88" s="1" t="str">
        <f>IF(ABS(F88-$H$3) &gt; 2*$H$4, "Anomaly", "Normal")</f>
        <v>Normal</v>
      </c>
    </row>
    <row r="89" spans="1:7" x14ac:dyDescent="0.3">
      <c r="A89" s="2">
        <v>42611</v>
      </c>
      <c r="B89" s="1">
        <v>8162.0430000000006</v>
      </c>
      <c r="C89" s="1">
        <v>37</v>
      </c>
      <c r="D89" s="1">
        <v>220.59575675675677</v>
      </c>
      <c r="E89" s="1">
        <f>B89-B88</f>
        <v>-7611.4349999999986</v>
      </c>
      <c r="F89" s="1">
        <f>IF(B88=0,"",(B89-B88)/B88)</f>
        <v>-0.48254639845441816</v>
      </c>
      <c r="G89" s="1" t="str">
        <f>IF(ABS(F89-$H$3) &gt; 2*$H$4, "Anomaly", "Normal")</f>
        <v>Normal</v>
      </c>
    </row>
    <row r="90" spans="1:7" x14ac:dyDescent="0.3">
      <c r="A90" s="2">
        <v>42618</v>
      </c>
      <c r="B90" s="1">
        <v>8243.9400000000023</v>
      </c>
      <c r="C90" s="1">
        <v>57</v>
      </c>
      <c r="D90" s="1">
        <v>144.63052631578952</v>
      </c>
      <c r="E90" s="1">
        <f>B90-B89</f>
        <v>81.897000000001754</v>
      </c>
      <c r="F90" s="1">
        <f>IF(B89=0,"",(B90-B89)/B89)</f>
        <v>1.0033884898670804E-2</v>
      </c>
      <c r="G90" s="1" t="str">
        <f>IF(ABS(F90-$H$3) &gt; 2*$H$4, "Anomaly", "Normal")</f>
        <v>Normal</v>
      </c>
    </row>
    <row r="91" spans="1:7" x14ac:dyDescent="0.3">
      <c r="A91" s="2">
        <v>42625</v>
      </c>
      <c r="B91" s="1">
        <v>24095.960000000003</v>
      </c>
      <c r="C91" s="1">
        <v>76</v>
      </c>
      <c r="D91" s="1">
        <v>317.05210526315796</v>
      </c>
      <c r="E91" s="1">
        <f>B91-B90</f>
        <v>15852.02</v>
      </c>
      <c r="F91" s="1">
        <f>IF(B90=0,"",(B91-B90)/B90)</f>
        <v>1.9228694046778598</v>
      </c>
      <c r="G91" s="1" t="str">
        <f>IF(ABS(F91-$H$3) &gt; 2*$H$4, "Anomaly", "Normal")</f>
        <v>Normal</v>
      </c>
    </row>
    <row r="92" spans="1:7" x14ac:dyDescent="0.3">
      <c r="A92" s="2">
        <v>42632</v>
      </c>
      <c r="B92" s="1">
        <v>18316.364999999991</v>
      </c>
      <c r="C92" s="1">
        <v>83</v>
      </c>
      <c r="D92" s="1">
        <v>220.67909638554207</v>
      </c>
      <c r="E92" s="1">
        <f>B92-B91</f>
        <v>-5779.5950000000121</v>
      </c>
      <c r="F92" s="1">
        <f>IF(B91=0,"",(B92-B91)/B91)</f>
        <v>-0.23985742838218571</v>
      </c>
      <c r="G92" s="1" t="str">
        <f>IF(ABS(F92-$H$3) &gt; 2*$H$4, "Anomaly", "Normal")</f>
        <v>Normal</v>
      </c>
    </row>
    <row r="93" spans="1:7" x14ac:dyDescent="0.3">
      <c r="A93" s="2">
        <v>42639</v>
      </c>
      <c r="B93" s="1">
        <v>9591.274999999996</v>
      </c>
      <c r="C93" s="1">
        <v>62</v>
      </c>
      <c r="D93" s="1">
        <v>154.69798387096768</v>
      </c>
      <c r="E93" s="1">
        <f>B93-B92</f>
        <v>-8725.0899999999947</v>
      </c>
      <c r="F93" s="1">
        <f>IF(B92=0,"",(B93-B92)/B92)</f>
        <v>-0.47635488810143273</v>
      </c>
      <c r="G93" s="1" t="str">
        <f>IF(ABS(F93-$H$3) &gt; 2*$H$4, "Anomaly", "Normal")</f>
        <v>Normal</v>
      </c>
    </row>
    <row r="94" spans="1:7" x14ac:dyDescent="0.3">
      <c r="A94" s="2">
        <v>42646</v>
      </c>
      <c r="B94" s="1">
        <v>3987.5450000000001</v>
      </c>
      <c r="C94" s="1">
        <v>32</v>
      </c>
      <c r="D94" s="1">
        <v>124.61078125</v>
      </c>
      <c r="E94" s="1">
        <f>B94-B93</f>
        <v>-5603.7299999999959</v>
      </c>
      <c r="F94" s="1">
        <f>IF(B93=0,"",(B94-B93)/B93)</f>
        <v>-0.58425287566043083</v>
      </c>
      <c r="G94" s="1" t="str">
        <f>IF(ABS(F94-$H$3) &gt; 2*$H$4, "Anomaly", "Normal")</f>
        <v>Normal</v>
      </c>
    </row>
    <row r="95" spans="1:7" x14ac:dyDescent="0.3">
      <c r="A95" s="2">
        <v>42653</v>
      </c>
      <c r="B95" s="1">
        <v>9673.8454999999976</v>
      </c>
      <c r="C95" s="1">
        <v>28</v>
      </c>
      <c r="D95" s="1">
        <v>345.49448214285707</v>
      </c>
      <c r="E95" s="1">
        <f>B95-B94</f>
        <v>5686.3004999999976</v>
      </c>
      <c r="F95" s="1">
        <f>IF(B94=0,"",(B95-B94)/B94)</f>
        <v>1.426015380390691</v>
      </c>
      <c r="G95" s="1" t="str">
        <f>IF(ABS(F95-$H$3) &gt; 2*$H$4, "Anomaly", "Normal")</f>
        <v>Normal</v>
      </c>
    </row>
    <row r="96" spans="1:7" x14ac:dyDescent="0.3">
      <c r="A96" s="2">
        <v>42660</v>
      </c>
      <c r="B96" s="1">
        <v>5588.9740000000002</v>
      </c>
      <c r="C96" s="1">
        <v>34</v>
      </c>
      <c r="D96" s="1">
        <v>164.38158823529412</v>
      </c>
      <c r="E96" s="1">
        <f>B96-B95</f>
        <v>-4084.8714999999975</v>
      </c>
      <c r="F96" s="1">
        <f>IF(B95=0,"",(B96-B95)/B95)</f>
        <v>-0.4222593279993978</v>
      </c>
      <c r="G96" s="1" t="str">
        <f>IF(ABS(F96-$H$3) &gt; 2*$H$4, "Anomaly", "Normal")</f>
        <v>Normal</v>
      </c>
    </row>
    <row r="97" spans="1:7" x14ac:dyDescent="0.3">
      <c r="A97" s="2">
        <v>42667</v>
      </c>
      <c r="B97" s="1">
        <v>6122.6840000000011</v>
      </c>
      <c r="C97" s="1">
        <v>32</v>
      </c>
      <c r="D97" s="1">
        <v>191.33387500000003</v>
      </c>
      <c r="E97" s="1">
        <f>B97-B96</f>
        <v>533.71000000000095</v>
      </c>
      <c r="F97" s="1">
        <f>IF(B96=0,"",(B97-B96)/B96)</f>
        <v>9.5493376780783193E-2</v>
      </c>
      <c r="G97" s="1" t="str">
        <f>IF(ABS(F97-$H$3) &gt; 2*$H$4, "Anomaly", "Normal")</f>
        <v>Normal</v>
      </c>
    </row>
    <row r="98" spans="1:7" x14ac:dyDescent="0.3">
      <c r="A98" s="2">
        <v>42674</v>
      </c>
      <c r="B98" s="1">
        <v>15492.866999999997</v>
      </c>
      <c r="C98" s="1">
        <v>55</v>
      </c>
      <c r="D98" s="1">
        <v>281.68849090909083</v>
      </c>
      <c r="E98" s="1">
        <f>B98-B97</f>
        <v>9370.1829999999954</v>
      </c>
      <c r="F98" s="1">
        <f>IF(B97=0,"",(B98-B97)/B97)</f>
        <v>1.5304044762068389</v>
      </c>
      <c r="G98" s="1" t="str">
        <f>IF(ABS(F98-$H$3) &gt; 2*$H$4, "Anomaly", "Normal")</f>
        <v>Normal</v>
      </c>
    </row>
    <row r="99" spans="1:7" x14ac:dyDescent="0.3">
      <c r="A99" s="2">
        <v>42681</v>
      </c>
      <c r="B99" s="1">
        <v>27965.349199999997</v>
      </c>
      <c r="C99" s="1">
        <v>93</v>
      </c>
      <c r="D99" s="1">
        <v>300.70267956989244</v>
      </c>
      <c r="E99" s="1">
        <f>B99-B98</f>
        <v>12472.4822</v>
      </c>
      <c r="F99" s="1">
        <f>IF(B98=0,"",(B99-B98)/B98)</f>
        <v>0.80504674828745404</v>
      </c>
      <c r="G99" s="1" t="str">
        <f>IF(ABS(F99-$H$3) &gt; 2*$H$4, "Anomaly", "Normal")</f>
        <v>Normal</v>
      </c>
    </row>
    <row r="100" spans="1:7" x14ac:dyDescent="0.3">
      <c r="A100" s="2">
        <v>42688</v>
      </c>
      <c r="B100" s="1">
        <v>15075.134</v>
      </c>
      <c r="C100" s="1">
        <v>73</v>
      </c>
      <c r="D100" s="1">
        <v>206.50868493150685</v>
      </c>
      <c r="E100" s="1">
        <f>B100-B99</f>
        <v>-12890.215199999997</v>
      </c>
      <c r="F100" s="1">
        <f>IF(B99=0,"",(B100-B99)/B99)</f>
        <v>-0.46093524911178291</v>
      </c>
      <c r="G100" s="1" t="str">
        <f>IF(ABS(F100-$H$3) &gt; 2*$H$4, "Anomaly", "Normal")</f>
        <v>Normal</v>
      </c>
    </row>
    <row r="101" spans="1:7" x14ac:dyDescent="0.3">
      <c r="A101" s="2">
        <v>42695</v>
      </c>
      <c r="B101" s="1">
        <v>13504.011299999995</v>
      </c>
      <c r="C101" s="1">
        <v>79</v>
      </c>
      <c r="D101" s="1">
        <v>170.93685189873412</v>
      </c>
      <c r="E101" s="1">
        <f>B101-B100</f>
        <v>-1571.1227000000054</v>
      </c>
      <c r="F101" s="1">
        <f>IF(B100=0,"",(B101-B100)/B100)</f>
        <v>-0.10421948488152778</v>
      </c>
      <c r="G101" s="1" t="str">
        <f>IF(ABS(F101-$H$3) &gt; 2*$H$4, "Anomaly", "Normal")</f>
        <v>Normal</v>
      </c>
    </row>
    <row r="102" spans="1:7" x14ac:dyDescent="0.3">
      <c r="A102" s="2">
        <v>42702</v>
      </c>
      <c r="B102" s="1">
        <v>20712.099999999995</v>
      </c>
      <c r="C102" s="1">
        <v>80</v>
      </c>
      <c r="D102" s="1">
        <v>258.90124999999995</v>
      </c>
      <c r="E102" s="1">
        <f>B102-B101</f>
        <v>7208.0887000000002</v>
      </c>
      <c r="F102" s="1">
        <f>IF(B101=0,"",(B102-B101)/B101)</f>
        <v>0.53377389427984279</v>
      </c>
      <c r="G102" s="1" t="str">
        <f>IF(ABS(F102-$H$3) &gt; 2*$H$4, "Anomaly", "Normal")</f>
        <v>Normal</v>
      </c>
    </row>
    <row r="103" spans="1:7" x14ac:dyDescent="0.3">
      <c r="A103" s="2">
        <v>42709</v>
      </c>
      <c r="B103" s="1">
        <v>15675.144</v>
      </c>
      <c r="C103" s="1">
        <v>90</v>
      </c>
      <c r="D103" s="1">
        <v>174.16826666666668</v>
      </c>
      <c r="E103" s="1">
        <f>B103-B102</f>
        <v>-5036.9559999999947</v>
      </c>
      <c r="F103" s="1">
        <f>IF(B102=0,"",(B103-B102)/B102)</f>
        <v>-0.24318905374153252</v>
      </c>
      <c r="G103" s="1" t="str">
        <f>IF(ABS(F103-$H$3) &gt; 2*$H$4, "Anomaly", "Normal")</f>
        <v>Normal</v>
      </c>
    </row>
    <row r="104" spans="1:7" x14ac:dyDescent="0.3">
      <c r="A104" s="2">
        <v>42716</v>
      </c>
      <c r="B104" s="1">
        <v>11314.539999999994</v>
      </c>
      <c r="C104" s="1">
        <v>60</v>
      </c>
      <c r="D104" s="1">
        <v>188.57566666666656</v>
      </c>
      <c r="E104" s="1">
        <f>B104-B103</f>
        <v>-4360.6040000000066</v>
      </c>
      <c r="F104" s="1">
        <f>IF(B103=0,"",(B104-B103)/B103)</f>
        <v>-0.27818589736719523</v>
      </c>
      <c r="G104" s="1" t="str">
        <f>IF(ABS(F104-$H$3) &gt; 2*$H$4, "Anomaly", "Normal")</f>
        <v>Normal</v>
      </c>
    </row>
    <row r="105" spans="1:7" x14ac:dyDescent="0.3">
      <c r="A105" s="2">
        <v>42723</v>
      </c>
      <c r="B105" s="1">
        <v>22843.046999999999</v>
      </c>
      <c r="C105" s="1">
        <v>75</v>
      </c>
      <c r="D105" s="1">
        <v>304.57396</v>
      </c>
      <c r="E105" s="1">
        <f>B105-B104</f>
        <v>11528.507000000005</v>
      </c>
      <c r="F105" s="1">
        <f>IF(B104=0,"",(B105-B104)/B104)</f>
        <v>1.0189107997320273</v>
      </c>
      <c r="G105" s="1" t="str">
        <f>IF(ABS(F105-$H$3) &gt; 2*$H$4, "Anomaly", "Normal")</f>
        <v>Normal</v>
      </c>
    </row>
    <row r="106" spans="1:7" x14ac:dyDescent="0.3">
      <c r="A106" s="2">
        <v>42730</v>
      </c>
      <c r="B106" s="1">
        <v>10421.817200000001</v>
      </c>
      <c r="C106" s="1">
        <v>44</v>
      </c>
      <c r="D106" s="1">
        <v>236.85948181818185</v>
      </c>
      <c r="E106" s="1">
        <f>B106-B105</f>
        <v>-12421.229799999997</v>
      </c>
      <c r="F106" s="1">
        <f>IF(B105=0,"",(B106-B105)/B105)</f>
        <v>-0.54376413969642479</v>
      </c>
      <c r="G106" s="1" t="str">
        <f>IF(ABS(F106-$H$3) &gt; 2*$H$4, "Anomaly", "Normal")</f>
        <v>Normal</v>
      </c>
    </row>
    <row r="107" spans="1:7" x14ac:dyDescent="0.3">
      <c r="A107" s="2">
        <v>42737</v>
      </c>
      <c r="B107" s="1">
        <v>5769.6079999999993</v>
      </c>
      <c r="C107" s="1">
        <v>22</v>
      </c>
      <c r="D107" s="1">
        <v>262.25490909090905</v>
      </c>
      <c r="E107" s="1">
        <f>B107-B106</f>
        <v>-4652.2092000000021</v>
      </c>
      <c r="F107" s="1">
        <f>IF(B106=0,"",(B107-B106)/B106)</f>
        <v>-0.44639136445417615</v>
      </c>
      <c r="G107" s="1" t="str">
        <f>IF(ABS(F107-$H$3) &gt; 2*$H$4, "Anomaly", "Normal")</f>
        <v>Normal</v>
      </c>
    </row>
    <row r="108" spans="1:7" x14ac:dyDescent="0.3">
      <c r="A108" s="2">
        <v>42744</v>
      </c>
      <c r="B108" s="1">
        <v>2174.5070000000001</v>
      </c>
      <c r="C108" s="1">
        <v>20</v>
      </c>
      <c r="D108" s="1">
        <v>108.72535000000001</v>
      </c>
      <c r="E108" s="1">
        <f>B108-B107</f>
        <v>-3595.1009999999992</v>
      </c>
      <c r="F108" s="1">
        <f>IF(B107=0,"",(B108-B107)/B107)</f>
        <v>-0.62311009690779684</v>
      </c>
      <c r="G108" s="1" t="str">
        <f>IF(ABS(F108-$H$3) &gt; 2*$H$4, "Anomaly", "Normal")</f>
        <v>Normal</v>
      </c>
    </row>
    <row r="109" spans="1:7" x14ac:dyDescent="0.3">
      <c r="A109" s="2">
        <v>42751</v>
      </c>
      <c r="B109" s="1">
        <v>3227.4540000000002</v>
      </c>
      <c r="C109" s="1">
        <v>19</v>
      </c>
      <c r="D109" s="1">
        <v>169.86600000000001</v>
      </c>
      <c r="E109" s="1">
        <f>B109-B108</f>
        <v>1052.9470000000001</v>
      </c>
      <c r="F109" s="1">
        <f>IF(B108=0,"",(B109-B108)/B108)</f>
        <v>0.48422332050437183</v>
      </c>
      <c r="G109" s="1" t="str">
        <f>IF(ABS(F109-$H$3) &gt; 2*$H$4, "Anomaly", "Normal")</f>
        <v>Normal</v>
      </c>
    </row>
    <row r="110" spans="1:7" x14ac:dyDescent="0.3">
      <c r="A110" s="2">
        <v>42758</v>
      </c>
      <c r="B110" s="1">
        <v>2662.0519999999997</v>
      </c>
      <c r="C110" s="1">
        <v>12</v>
      </c>
      <c r="D110" s="1">
        <v>221.83766666666665</v>
      </c>
      <c r="E110" s="1">
        <f>B110-B109</f>
        <v>-565.4020000000005</v>
      </c>
      <c r="F110" s="1">
        <f>IF(B109=0,"",(B110-B109)/B109)</f>
        <v>-0.17518514593856349</v>
      </c>
      <c r="G110" s="1" t="str">
        <f>IF(ABS(F110-$H$3) &gt; 2*$H$4, "Anomaly", "Normal")</f>
        <v>Normal</v>
      </c>
    </row>
    <row r="111" spans="1:7" x14ac:dyDescent="0.3">
      <c r="A111" s="2">
        <v>42765</v>
      </c>
      <c r="B111" s="1">
        <v>17926.367999999999</v>
      </c>
      <c r="C111" s="1">
        <v>42</v>
      </c>
      <c r="D111" s="1">
        <v>426.81828571428571</v>
      </c>
      <c r="E111" s="1">
        <f>B111-B110</f>
        <v>15264.315999999999</v>
      </c>
      <c r="F111" s="1">
        <f>IF(B110=0,"",(B111-B110)/B110)</f>
        <v>5.7340412583976574</v>
      </c>
      <c r="G111" s="1" t="str">
        <f>IF(ABS(F111-$H$3) &gt; 2*$H$4, "Anomaly", "Normal")</f>
        <v>Normal</v>
      </c>
    </row>
    <row r="112" spans="1:7" x14ac:dyDescent="0.3">
      <c r="A112" s="2">
        <v>42772</v>
      </c>
      <c r="B112" s="1">
        <v>3821.6419999999998</v>
      </c>
      <c r="C112" s="1">
        <v>12</v>
      </c>
      <c r="D112" s="1">
        <v>318.47016666666667</v>
      </c>
      <c r="E112" s="1">
        <f>B112-B111</f>
        <v>-14104.725999999999</v>
      </c>
      <c r="F112" s="1">
        <f>IF(B111=0,"",(B112-B111)/B111)</f>
        <v>-0.78681448467419612</v>
      </c>
      <c r="G112" s="1" t="str">
        <f>IF(ABS(F112-$H$3) &gt; 2*$H$4, "Anomaly", "Normal")</f>
        <v>Normal</v>
      </c>
    </row>
    <row r="113" spans="1:7" x14ac:dyDescent="0.3">
      <c r="A113" s="2">
        <v>42779</v>
      </c>
      <c r="B113" s="1">
        <v>2920.1109999999999</v>
      </c>
      <c r="C113" s="1">
        <v>22</v>
      </c>
      <c r="D113" s="1">
        <v>132.73231818181819</v>
      </c>
      <c r="E113" s="1">
        <f>B113-B112</f>
        <v>-901.53099999999995</v>
      </c>
      <c r="F113" s="1">
        <f>IF(B112=0,"",(B113-B112)/B112)</f>
        <v>-0.23590147899777111</v>
      </c>
      <c r="G113" s="1" t="str">
        <f>IF(ABS(F113-$H$3) &gt; 2*$H$4, "Anomaly", "Normal")</f>
        <v>Normal</v>
      </c>
    </row>
    <row r="114" spans="1:7" x14ac:dyDescent="0.3">
      <c r="A114" s="2">
        <v>42786</v>
      </c>
      <c r="B114" s="1">
        <v>2628.0880000000006</v>
      </c>
      <c r="C114" s="1">
        <v>18</v>
      </c>
      <c r="D114" s="1">
        <v>146.00488888888893</v>
      </c>
      <c r="E114" s="1">
        <f>B114-B113</f>
        <v>-292.02299999999923</v>
      </c>
      <c r="F114" s="1">
        <f>IF(B113=0,"",(B114-B113)/B113)</f>
        <v>-0.10000407518755254</v>
      </c>
      <c r="G114" s="1" t="str">
        <f>IF(ABS(F114-$H$3) &gt; 2*$H$4, "Anomaly", "Normal")</f>
        <v>Normal</v>
      </c>
    </row>
    <row r="115" spans="1:7" x14ac:dyDescent="0.3">
      <c r="A115" s="2">
        <v>42793</v>
      </c>
      <c r="B115" s="1">
        <v>14419.498</v>
      </c>
      <c r="C115" s="1">
        <v>31</v>
      </c>
      <c r="D115" s="1">
        <v>465.14509677419352</v>
      </c>
      <c r="E115" s="1">
        <f>B115-B114</f>
        <v>11791.41</v>
      </c>
      <c r="F115" s="1">
        <f>IF(B114=0,"",(B115-B114)/B114)</f>
        <v>4.4866876603827563</v>
      </c>
      <c r="G115" s="1" t="str">
        <f>IF(ABS(F115-$H$3) &gt; 2*$H$4, "Anomaly", "Normal")</f>
        <v>Normal</v>
      </c>
    </row>
    <row r="116" spans="1:7" x14ac:dyDescent="0.3">
      <c r="A116" s="2">
        <v>42800</v>
      </c>
      <c r="B116" s="1">
        <v>14129.182999999997</v>
      </c>
      <c r="C116" s="1">
        <v>46</v>
      </c>
      <c r="D116" s="1">
        <v>307.15615217391297</v>
      </c>
      <c r="E116" s="1">
        <f>B116-B115</f>
        <v>-290.31500000000233</v>
      </c>
      <c r="F116" s="1">
        <f>IF(B115=0,"",(B116-B115)/B115)</f>
        <v>-2.0133502567149172E-2</v>
      </c>
      <c r="G116" s="1" t="str">
        <f>IF(ABS(F116-$H$3) &gt; 2*$H$4, "Anomaly", "Normal")</f>
        <v>Normal</v>
      </c>
    </row>
    <row r="117" spans="1:7" x14ac:dyDescent="0.3">
      <c r="A117" s="2">
        <v>42807</v>
      </c>
      <c r="B117" s="1">
        <v>14902.937999999996</v>
      </c>
      <c r="C117" s="1">
        <v>45</v>
      </c>
      <c r="D117" s="1">
        <v>331.17639999999994</v>
      </c>
      <c r="E117" s="1">
        <f>B117-B116</f>
        <v>773.7549999999992</v>
      </c>
      <c r="F117" s="1">
        <f>IF(B116=0,"",(B117-B116)/B116)</f>
        <v>5.4762897472557283E-2</v>
      </c>
      <c r="G117" s="1" t="str">
        <f>IF(ABS(F117-$H$3) &gt; 2*$H$4, "Anomaly", "Normal")</f>
        <v>Normal</v>
      </c>
    </row>
    <row r="118" spans="1:7" x14ac:dyDescent="0.3">
      <c r="A118" s="2">
        <v>42814</v>
      </c>
      <c r="B118" s="1">
        <v>4575.4750000000004</v>
      </c>
      <c r="C118" s="1">
        <v>25</v>
      </c>
      <c r="D118" s="1">
        <v>183.01900000000001</v>
      </c>
      <c r="E118" s="1">
        <f>B118-B117</f>
        <v>-10327.462999999996</v>
      </c>
      <c r="F118" s="1">
        <f>IF(B117=0,"",(B118-B117)/B117)</f>
        <v>-0.69298167918299058</v>
      </c>
      <c r="G118" s="1" t="str">
        <f>IF(ABS(F118-$H$3) &gt; 2*$H$4, "Anomaly", "Normal")</f>
        <v>Normal</v>
      </c>
    </row>
    <row r="119" spans="1:7" x14ac:dyDescent="0.3">
      <c r="A119" s="2">
        <v>42821</v>
      </c>
      <c r="B119" s="1">
        <v>7145.8209999999999</v>
      </c>
      <c r="C119" s="1">
        <v>37</v>
      </c>
      <c r="D119" s="1">
        <v>193.13029729729729</v>
      </c>
      <c r="E119" s="1">
        <f>B119-B118</f>
        <v>2570.3459999999995</v>
      </c>
      <c r="F119" s="1">
        <f>IF(B118=0,"",(B119-B118)/B118)</f>
        <v>0.56176593686994236</v>
      </c>
      <c r="G119" s="1" t="str">
        <f>IF(ABS(F119-$H$3) &gt; 2*$H$4, "Anomaly", "Normal")</f>
        <v>Normal</v>
      </c>
    </row>
    <row r="120" spans="1:7" x14ac:dyDescent="0.3">
      <c r="A120" s="2">
        <v>42828</v>
      </c>
      <c r="B120" s="1">
        <v>9674.3790000000008</v>
      </c>
      <c r="C120" s="1">
        <v>40</v>
      </c>
      <c r="D120" s="1">
        <v>241.85947500000003</v>
      </c>
      <c r="E120" s="1">
        <f>B120-B119</f>
        <v>2528.5580000000009</v>
      </c>
      <c r="F120" s="1">
        <f>IF(B119=0,"",(B120-B119)/B119)</f>
        <v>0.35385129294450574</v>
      </c>
      <c r="G120" s="1" t="str">
        <f>IF(ABS(F120-$H$3) &gt; 2*$H$4, "Anomaly", "Normal")</f>
        <v>Normal</v>
      </c>
    </row>
    <row r="121" spans="1:7" x14ac:dyDescent="0.3">
      <c r="A121" s="2">
        <v>42835</v>
      </c>
      <c r="B121" s="1">
        <v>15502.757999999998</v>
      </c>
      <c r="C121" s="1">
        <v>40</v>
      </c>
      <c r="D121" s="1">
        <v>387.56894999999997</v>
      </c>
      <c r="E121" s="1">
        <f>B121-B120</f>
        <v>5828.3789999999972</v>
      </c>
      <c r="F121" s="1">
        <f>IF(B120=0,"",(B121-B120)/B120)</f>
        <v>0.60245510331980967</v>
      </c>
      <c r="G121" s="1" t="str">
        <f>IF(ABS(F121-$H$3) &gt; 2*$H$4, "Anomaly", "Normal")</f>
        <v>Normal</v>
      </c>
    </row>
    <row r="122" spans="1:7" x14ac:dyDescent="0.3">
      <c r="A122" s="2">
        <v>42842</v>
      </c>
      <c r="B122" s="1">
        <v>7107.2039999999997</v>
      </c>
      <c r="C122" s="1">
        <v>53</v>
      </c>
      <c r="D122" s="1">
        <v>134.09818867924528</v>
      </c>
      <c r="E122" s="1">
        <f>B122-B121</f>
        <v>-8395.5539999999983</v>
      </c>
      <c r="F122" s="1">
        <f>IF(B121=0,"",(B122-B121)/B121)</f>
        <v>-0.54155228379363207</v>
      </c>
      <c r="G122" s="1" t="str">
        <f>IF(ABS(F122-$H$3) &gt; 2*$H$4, "Anomaly", "Normal")</f>
        <v>Normal</v>
      </c>
    </row>
    <row r="123" spans="1:7" x14ac:dyDescent="0.3">
      <c r="A123" s="2">
        <v>42849</v>
      </c>
      <c r="B123" s="1">
        <v>2779.0460000000003</v>
      </c>
      <c r="C123" s="1">
        <v>17</v>
      </c>
      <c r="D123" s="1">
        <v>163.47329411764707</v>
      </c>
      <c r="E123" s="1">
        <f>B123-B122</f>
        <v>-4328.1579999999994</v>
      </c>
      <c r="F123" s="1">
        <f>IF(B122=0,"",(B123-B122)/B122)</f>
        <v>-0.60898181619663649</v>
      </c>
      <c r="G123" s="1" t="str">
        <f>IF(ABS(F123-$H$3) &gt; 2*$H$4, "Anomaly", "Normal")</f>
        <v>Normal</v>
      </c>
    </row>
    <row r="124" spans="1:7" x14ac:dyDescent="0.3">
      <c r="A124" s="2">
        <v>42856</v>
      </c>
      <c r="B124" s="1">
        <v>10158.411</v>
      </c>
      <c r="C124" s="1">
        <v>48</v>
      </c>
      <c r="D124" s="1">
        <v>211.63356250000001</v>
      </c>
      <c r="E124" s="1">
        <f>B124-B123</f>
        <v>7379.3649999999998</v>
      </c>
      <c r="F124" s="1">
        <f>IF(B123=0,"",(B124-B123)/B123)</f>
        <v>2.6553590692633366</v>
      </c>
      <c r="G124" s="1" t="str">
        <f>IF(ABS(F124-$H$3) &gt; 2*$H$4, "Anomaly", "Normal")</f>
        <v>Normal</v>
      </c>
    </row>
    <row r="125" spans="1:7" x14ac:dyDescent="0.3">
      <c r="A125" s="2">
        <v>42863</v>
      </c>
      <c r="B125" s="1">
        <v>4767.5640000000003</v>
      </c>
      <c r="C125" s="1">
        <v>39</v>
      </c>
      <c r="D125" s="1">
        <v>122.24523076923077</v>
      </c>
      <c r="E125" s="1">
        <f>B125-B124</f>
        <v>-5390.8469999999998</v>
      </c>
      <c r="F125" s="1">
        <f>IF(B124=0,"",(B125-B124)/B124)</f>
        <v>-0.53067817397819406</v>
      </c>
      <c r="G125" s="1" t="str">
        <f>IF(ABS(F125-$H$3) &gt; 2*$H$4, "Anomaly", "Normal")</f>
        <v>Normal</v>
      </c>
    </row>
    <row r="126" spans="1:7" x14ac:dyDescent="0.3">
      <c r="A126" s="2">
        <v>42870</v>
      </c>
      <c r="B126" s="1">
        <v>8770.6490000000013</v>
      </c>
      <c r="C126" s="1">
        <v>42</v>
      </c>
      <c r="D126" s="1">
        <v>208.82497619047621</v>
      </c>
      <c r="E126" s="1">
        <f>B126-B125</f>
        <v>4003.0850000000009</v>
      </c>
      <c r="F126" s="1">
        <f>IF(B125=0,"",(B126-B125)/B125)</f>
        <v>0.83964997638206862</v>
      </c>
      <c r="G126" s="1" t="str">
        <f>IF(ABS(F126-$H$3) &gt; 2*$H$4, "Anomaly", "Normal")</f>
        <v>Normal</v>
      </c>
    </row>
    <row r="127" spans="1:7" x14ac:dyDescent="0.3">
      <c r="A127" s="2">
        <v>42877</v>
      </c>
      <c r="B127" s="1">
        <v>23367.661999999997</v>
      </c>
      <c r="C127" s="1">
        <v>56</v>
      </c>
      <c r="D127" s="1">
        <v>417.27967857142852</v>
      </c>
      <c r="E127" s="1">
        <f>B127-B126</f>
        <v>14597.012999999995</v>
      </c>
      <c r="F127" s="1">
        <f>IF(B126=0,"",(B127-B126)/B126)</f>
        <v>1.6643024934642798</v>
      </c>
      <c r="G127" s="1" t="str">
        <f>IF(ABS(F127-$H$3) &gt; 2*$H$4, "Anomaly", "Normal")</f>
        <v>Normal</v>
      </c>
    </row>
    <row r="128" spans="1:7" x14ac:dyDescent="0.3">
      <c r="A128" s="2">
        <v>42884</v>
      </c>
      <c r="B128" s="1">
        <v>12066.988999999998</v>
      </c>
      <c r="C128" s="1">
        <v>52</v>
      </c>
      <c r="D128" s="1">
        <v>232.05748076923072</v>
      </c>
      <c r="E128" s="1">
        <f>B128-B127</f>
        <v>-11300.672999999999</v>
      </c>
      <c r="F128" s="1">
        <f>IF(B127=0,"",(B128-B127)/B127)</f>
        <v>-0.48360306649420043</v>
      </c>
      <c r="G128" s="1" t="str">
        <f>IF(ABS(F128-$H$3) &gt; 2*$H$4, "Anomaly", "Normal")</f>
        <v>Normal</v>
      </c>
    </row>
    <row r="129" spans="1:7" x14ac:dyDescent="0.3">
      <c r="A129" s="2">
        <v>42891</v>
      </c>
      <c r="B129" s="1">
        <v>10913.017999999998</v>
      </c>
      <c r="C129" s="1">
        <v>43</v>
      </c>
      <c r="D129" s="1">
        <v>253.79111627906971</v>
      </c>
      <c r="E129" s="1">
        <f>B129-B128</f>
        <v>-1153.9709999999995</v>
      </c>
      <c r="F129" s="1">
        <f>IF(B128=0,"",(B129-B128)/B128)</f>
        <v>-9.5630401254198527E-2</v>
      </c>
      <c r="G129" s="1" t="str">
        <f>IF(ABS(F129-$H$3) &gt; 2*$H$4, "Anomaly", "Normal")</f>
        <v>Normal</v>
      </c>
    </row>
    <row r="130" spans="1:7" x14ac:dyDescent="0.3">
      <c r="A130" s="2">
        <v>42898</v>
      </c>
      <c r="B130" s="1">
        <v>10713.721000000001</v>
      </c>
      <c r="C130" s="1">
        <v>61</v>
      </c>
      <c r="D130" s="1">
        <v>175.63477049180329</v>
      </c>
      <c r="E130" s="1">
        <f>B130-B129</f>
        <v>-199.29699999999684</v>
      </c>
      <c r="F130" s="1">
        <f>IF(B129=0,"",(B130-B129)/B129)</f>
        <v>-1.8262317536725119E-2</v>
      </c>
      <c r="G130" s="1" t="str">
        <f>IF(ABS(F130-$H$3) &gt; 2*$H$4, "Anomaly", "Normal")</f>
        <v>Normal</v>
      </c>
    </row>
    <row r="131" spans="1:7" x14ac:dyDescent="0.3">
      <c r="A131" s="2">
        <v>42905</v>
      </c>
      <c r="B131" s="1">
        <v>10503.088</v>
      </c>
      <c r="C131" s="1">
        <v>45</v>
      </c>
      <c r="D131" s="1">
        <v>233.40195555555556</v>
      </c>
      <c r="E131" s="1">
        <f>B131-B130</f>
        <v>-210.63300000000163</v>
      </c>
      <c r="F131" s="1">
        <f>IF(B130=0,"",(B131-B130)/B130)</f>
        <v>-1.9660116219192343E-2</v>
      </c>
      <c r="G131" s="1" t="str">
        <f>IF(ABS(F131-$H$3) &gt; 2*$H$4, "Anomaly", "Normal")</f>
        <v>Normal</v>
      </c>
    </row>
    <row r="132" spans="1:7" x14ac:dyDescent="0.3">
      <c r="A132" s="2">
        <v>42912</v>
      </c>
      <c r="B132" s="1">
        <v>7617.4539999999997</v>
      </c>
      <c r="C132" s="1">
        <v>43</v>
      </c>
      <c r="D132" s="1">
        <v>177.15009302325581</v>
      </c>
      <c r="E132" s="1">
        <f>B132-B131</f>
        <v>-2885.634</v>
      </c>
      <c r="F132" s="1">
        <f>IF(B131=0,"",(B132-B131)/B131)</f>
        <v>-0.27474148555167777</v>
      </c>
      <c r="G132" s="1" t="str">
        <f>IF(ABS(F132-$H$3) &gt; 2*$H$4, "Anomaly", "Normal")</f>
        <v>Normal</v>
      </c>
    </row>
    <row r="133" spans="1:7" x14ac:dyDescent="0.3">
      <c r="A133" s="2">
        <v>42919</v>
      </c>
      <c r="B133" s="1">
        <v>9571.029999999997</v>
      </c>
      <c r="C133" s="1">
        <v>39</v>
      </c>
      <c r="D133" s="1">
        <v>245.41102564102556</v>
      </c>
      <c r="E133" s="1">
        <f>B133-B132</f>
        <v>1953.5759999999973</v>
      </c>
      <c r="F133" s="1">
        <f>IF(B132=0,"",(B133-B132)/B132)</f>
        <v>0.25646049191764037</v>
      </c>
      <c r="G133" s="1" t="str">
        <f>IF(ABS(F133-$H$3) &gt; 2*$H$4, "Anomaly", "Normal")</f>
        <v>Normal</v>
      </c>
    </row>
    <row r="134" spans="1:7" x14ac:dyDescent="0.3">
      <c r="A134" s="2">
        <v>42926</v>
      </c>
      <c r="B134" s="1">
        <v>4431.9850000000006</v>
      </c>
      <c r="C134" s="1">
        <v>39</v>
      </c>
      <c r="D134" s="1">
        <v>113.64064102564105</v>
      </c>
      <c r="E134" s="1">
        <f>B134-B133</f>
        <v>-5139.0449999999964</v>
      </c>
      <c r="F134" s="1">
        <f>IF(B133=0,"",(B134-B133)/B133)</f>
        <v>-0.53693750829325559</v>
      </c>
      <c r="G134" s="1" t="str">
        <f>IF(ABS(F134-$H$3) &gt; 2*$H$4, "Anomaly", "Normal")</f>
        <v>Normal</v>
      </c>
    </row>
    <row r="135" spans="1:7" x14ac:dyDescent="0.3">
      <c r="A135" s="2">
        <v>42933</v>
      </c>
      <c r="B135" s="1">
        <v>9716.8719999999976</v>
      </c>
      <c r="C135" s="1">
        <v>69</v>
      </c>
      <c r="D135" s="1">
        <v>140.82423188405792</v>
      </c>
      <c r="E135" s="1">
        <f>B135-B134</f>
        <v>5284.886999999997</v>
      </c>
      <c r="F135" s="1">
        <f>IF(B134=0,"",(B135-B134)/B134)</f>
        <v>1.1924424383205259</v>
      </c>
      <c r="G135" s="1" t="str">
        <f>IF(ABS(F135-$H$3) &gt; 2*$H$4, "Anomaly", "Normal")</f>
        <v>Normal</v>
      </c>
    </row>
    <row r="136" spans="1:7" x14ac:dyDescent="0.3">
      <c r="A136" s="2">
        <v>42940</v>
      </c>
      <c r="B136" s="1">
        <v>9929.5759999999991</v>
      </c>
      <c r="C136" s="1">
        <v>32</v>
      </c>
      <c r="D136" s="1">
        <v>310.29924999999997</v>
      </c>
      <c r="E136" s="1">
        <f>B136-B135</f>
        <v>212.70400000000154</v>
      </c>
      <c r="F136" s="1">
        <f>IF(B135=0,"",(B136-B135)/B135)</f>
        <v>2.1890172063602525E-2</v>
      </c>
      <c r="G136" s="1" t="str">
        <f>IF(ABS(F136-$H$3) &gt; 2*$H$4, "Anomaly", "Normal")</f>
        <v>Normal</v>
      </c>
    </row>
    <row r="137" spans="1:7" x14ac:dyDescent="0.3">
      <c r="A137" s="2">
        <v>42947</v>
      </c>
      <c r="B137" s="1">
        <v>5045.558</v>
      </c>
      <c r="C137" s="1">
        <v>26</v>
      </c>
      <c r="D137" s="1">
        <v>194.05992307692307</v>
      </c>
      <c r="E137" s="1">
        <f>B137-B136</f>
        <v>-4884.0179999999991</v>
      </c>
      <c r="F137" s="1">
        <f>IF(B136=0,"",(B137-B136)/B136)</f>
        <v>-0.49186571511210547</v>
      </c>
      <c r="G137" s="1" t="str">
        <f>IF(ABS(F137-$H$3) &gt; 2*$H$4, "Anomaly", "Normal")</f>
        <v>Normal</v>
      </c>
    </row>
    <row r="138" spans="1:7" x14ac:dyDescent="0.3">
      <c r="A138" s="2">
        <v>42954</v>
      </c>
      <c r="B138" s="1">
        <v>6791.8324999999986</v>
      </c>
      <c r="C138" s="1">
        <v>33</v>
      </c>
      <c r="D138" s="1">
        <v>205.81310606060603</v>
      </c>
      <c r="E138" s="1">
        <f>B138-B137</f>
        <v>1746.2744999999986</v>
      </c>
      <c r="F138" s="1">
        <f>IF(B137=0,"",(B138-B137)/B137)</f>
        <v>0.3461013628225062</v>
      </c>
      <c r="G138" s="1" t="str">
        <f>IF(ABS(F138-$H$3) &gt; 2*$H$4, "Anomaly", "Normal")</f>
        <v>Normal</v>
      </c>
    </row>
    <row r="139" spans="1:7" x14ac:dyDescent="0.3">
      <c r="A139" s="2">
        <v>42961</v>
      </c>
      <c r="B139" s="1">
        <v>3783.8920000000007</v>
      </c>
      <c r="C139" s="1">
        <v>30</v>
      </c>
      <c r="D139" s="1">
        <v>126.12973333333336</v>
      </c>
      <c r="E139" s="1">
        <f>B139-B138</f>
        <v>-3007.9404999999979</v>
      </c>
      <c r="F139" s="1">
        <f>IF(B138=0,"",(B139-B138)/B138)</f>
        <v>-0.44287613099999129</v>
      </c>
      <c r="G139" s="1" t="str">
        <f>IF(ABS(F139-$H$3) &gt; 2*$H$4, "Anomaly", "Normal")</f>
        <v>Normal</v>
      </c>
    </row>
    <row r="140" spans="1:7" x14ac:dyDescent="0.3">
      <c r="A140" s="2">
        <v>42968</v>
      </c>
      <c r="B140" s="1">
        <v>14460.024999999998</v>
      </c>
      <c r="C140" s="1">
        <v>68</v>
      </c>
      <c r="D140" s="1">
        <v>212.64742647058821</v>
      </c>
      <c r="E140" s="1">
        <f>B140-B139</f>
        <v>10676.132999999998</v>
      </c>
      <c r="F140" s="1">
        <f>IF(B139=0,"",(B140-B139)/B139)</f>
        <v>2.821468741708272</v>
      </c>
      <c r="G140" s="1" t="str">
        <f>IF(ABS(F140-$H$3) &gt; 2*$H$4, "Anomaly", "Normal")</f>
        <v>Normal</v>
      </c>
    </row>
    <row r="141" spans="1:7" x14ac:dyDescent="0.3">
      <c r="A141" s="2">
        <v>42975</v>
      </c>
      <c r="B141" s="1">
        <v>17558.991800000003</v>
      </c>
      <c r="C141" s="1">
        <v>82</v>
      </c>
      <c r="D141" s="1">
        <v>214.13404634146346</v>
      </c>
      <c r="E141" s="1">
        <f>B141-B140</f>
        <v>3098.9668000000056</v>
      </c>
      <c r="F141" s="1">
        <f>IF(B140=0,"",(B141-B140)/B140)</f>
        <v>0.21431268618138669</v>
      </c>
      <c r="G141" s="1" t="str">
        <f>IF(ABS(F141-$H$3) &gt; 2*$H$4, "Anomaly", "Normal")</f>
        <v>Normal</v>
      </c>
    </row>
    <row r="142" spans="1:7" x14ac:dyDescent="0.3">
      <c r="A142" s="2">
        <v>42982</v>
      </c>
      <c r="B142" s="1">
        <v>14920.995599999997</v>
      </c>
      <c r="C142" s="1">
        <v>97</v>
      </c>
      <c r="D142" s="1">
        <v>153.82469690721646</v>
      </c>
      <c r="E142" s="1">
        <f>B142-B141</f>
        <v>-2637.9962000000069</v>
      </c>
      <c r="F142" s="1">
        <f>IF(B141=0,"",(B142-B141)/B141)</f>
        <v>-0.15023619977999</v>
      </c>
      <c r="G142" s="1" t="str">
        <f>IF(ABS(F142-$H$3) &gt; 2*$H$4, "Anomaly", "Normal")</f>
        <v>Normal</v>
      </c>
    </row>
    <row r="143" spans="1:7" x14ac:dyDescent="0.3">
      <c r="A143" s="2">
        <v>42989</v>
      </c>
      <c r="B143" s="1">
        <v>16528.071999999993</v>
      </c>
      <c r="C143" s="1">
        <v>69</v>
      </c>
      <c r="D143" s="1">
        <v>239.53727536231872</v>
      </c>
      <c r="E143" s="1">
        <f>B143-B142</f>
        <v>1607.0763999999963</v>
      </c>
      <c r="F143" s="1">
        <f>IF(B142=0,"",(B143-B142)/B142)</f>
        <v>0.10770570832418158</v>
      </c>
      <c r="G143" s="1" t="str">
        <f>IF(ABS(F143-$H$3) &gt; 2*$H$4, "Anomaly", "Normal")</f>
        <v>Normal</v>
      </c>
    </row>
    <row r="144" spans="1:7" x14ac:dyDescent="0.3">
      <c r="A144" s="2">
        <v>42996</v>
      </c>
      <c r="B144" s="1">
        <v>13848.655000000001</v>
      </c>
      <c r="C144" s="1">
        <v>77</v>
      </c>
      <c r="D144" s="1">
        <v>179.85266233766234</v>
      </c>
      <c r="E144" s="1">
        <f>B144-B143</f>
        <v>-2679.4169999999922</v>
      </c>
      <c r="F144" s="1">
        <f>IF(B143=0,"",(B144-B143)/B143)</f>
        <v>-0.16211310066897056</v>
      </c>
      <c r="G144" s="1" t="str">
        <f>IF(ABS(F144-$H$3) &gt; 2*$H$4, "Anomaly", "Normal")</f>
        <v>Normal</v>
      </c>
    </row>
    <row r="145" spans="1:7" x14ac:dyDescent="0.3">
      <c r="A145" s="2">
        <v>43003</v>
      </c>
      <c r="B145" s="1">
        <v>9753.1412999999993</v>
      </c>
      <c r="C145" s="1">
        <v>55</v>
      </c>
      <c r="D145" s="1">
        <v>177.32984181818182</v>
      </c>
      <c r="E145" s="1">
        <f>B145-B144</f>
        <v>-4095.5137000000013</v>
      </c>
      <c r="F145" s="1">
        <f>IF(B144=0,"",(B145-B144)/B144)</f>
        <v>-0.29573367955227431</v>
      </c>
      <c r="G145" s="1" t="str">
        <f>IF(ABS(F145-$H$3) &gt; 2*$H$4, "Anomaly", "Normal")</f>
        <v>Normal</v>
      </c>
    </row>
    <row r="146" spans="1:7" x14ac:dyDescent="0.3">
      <c r="A146" s="2">
        <v>43010</v>
      </c>
      <c r="B146" s="1">
        <v>28412.097999999991</v>
      </c>
      <c r="C146" s="1">
        <v>35</v>
      </c>
      <c r="D146" s="1">
        <v>811.77422857142835</v>
      </c>
      <c r="E146" s="1">
        <f>B146-B145</f>
        <v>18658.956699999992</v>
      </c>
      <c r="F146" s="1">
        <f>IF(B145=0,"",(B146-B145)/B145)</f>
        <v>1.9131227699941138</v>
      </c>
      <c r="G146" s="1" t="str">
        <f>IF(ABS(F146-$H$3) &gt; 2*$H$4, "Anomaly", "Normal")</f>
        <v>Normal</v>
      </c>
    </row>
    <row r="147" spans="1:7" x14ac:dyDescent="0.3">
      <c r="A147" s="2">
        <v>43017</v>
      </c>
      <c r="B147" s="1">
        <v>7439.001000000002</v>
      </c>
      <c r="C147" s="1">
        <v>54</v>
      </c>
      <c r="D147" s="1">
        <v>137.75927777777781</v>
      </c>
      <c r="E147" s="1">
        <f>B147-B146</f>
        <v>-20973.096999999987</v>
      </c>
      <c r="F147" s="1">
        <f>IF(B146=0,"",(B147-B146)/B146)</f>
        <v>-0.73817487888433986</v>
      </c>
      <c r="G147" s="1" t="str">
        <f>IF(ABS(F147-$H$3) &gt; 2*$H$4, "Anomaly", "Normal")</f>
        <v>Normal</v>
      </c>
    </row>
    <row r="148" spans="1:7" x14ac:dyDescent="0.3">
      <c r="A148" s="2">
        <v>43024</v>
      </c>
      <c r="B148" s="1">
        <v>12415.173999999999</v>
      </c>
      <c r="C148" s="1">
        <v>42</v>
      </c>
      <c r="D148" s="1">
        <v>295.59938095238095</v>
      </c>
      <c r="E148" s="1">
        <f>B148-B147</f>
        <v>4976.172999999997</v>
      </c>
      <c r="F148" s="1">
        <f>IF(B147=0,"",(B148-B147)/B147)</f>
        <v>0.66893027706273944</v>
      </c>
      <c r="G148" s="1" t="str">
        <f>IF(ABS(F148-$H$3) &gt; 2*$H$4, "Anomaly", "Normal")</f>
        <v>Normal</v>
      </c>
    </row>
    <row r="149" spans="1:7" x14ac:dyDescent="0.3">
      <c r="A149" s="2">
        <v>43031</v>
      </c>
      <c r="B149" s="1">
        <v>6625.8449999999993</v>
      </c>
      <c r="C149" s="1">
        <v>41</v>
      </c>
      <c r="D149" s="1">
        <v>161.60597560975609</v>
      </c>
      <c r="E149" s="1">
        <f>B149-B148</f>
        <v>-5789.3289999999997</v>
      </c>
      <c r="F149" s="1">
        <f>IF(B148=0,"",(B149-B148)/B148)</f>
        <v>-0.46631074200007189</v>
      </c>
      <c r="G149" s="1" t="str">
        <f>IF(ABS(F149-$H$3) &gt; 2*$H$4, "Anomaly", "Normal")</f>
        <v>Normal</v>
      </c>
    </row>
    <row r="150" spans="1:7" x14ac:dyDescent="0.3">
      <c r="A150" s="2">
        <v>43038</v>
      </c>
      <c r="B150" s="1">
        <v>16321.38779999999</v>
      </c>
      <c r="C150" s="1">
        <v>79</v>
      </c>
      <c r="D150" s="1">
        <v>206.59984556962013</v>
      </c>
      <c r="E150" s="1">
        <f>B150-B149</f>
        <v>9695.5427999999902</v>
      </c>
      <c r="F150" s="1">
        <f>IF(B149=0,"",(B150-B149)/B149)</f>
        <v>1.4632915197986054</v>
      </c>
      <c r="G150" s="1" t="str">
        <f>IF(ABS(F150-$H$3) &gt; 2*$H$4, "Anomaly", "Normal")</f>
        <v>Normal</v>
      </c>
    </row>
    <row r="151" spans="1:7" x14ac:dyDescent="0.3">
      <c r="A151" s="2">
        <v>43045</v>
      </c>
      <c r="B151" s="1">
        <v>20640.301999999996</v>
      </c>
      <c r="C151" s="1">
        <v>99</v>
      </c>
      <c r="D151" s="1">
        <v>208.48789898989895</v>
      </c>
      <c r="E151" s="1">
        <f>B151-B150</f>
        <v>4318.9142000000065</v>
      </c>
      <c r="F151" s="1">
        <f>IF(B150=0,"",(B151-B150)/B150)</f>
        <v>0.26461684832952803</v>
      </c>
      <c r="G151" s="1" t="str">
        <f>IF(ABS(F151-$H$3) &gt; 2*$H$4, "Anomaly", "Normal")</f>
        <v>Normal</v>
      </c>
    </row>
    <row r="152" spans="1:7" x14ac:dyDescent="0.3">
      <c r="A152" s="2">
        <v>43052</v>
      </c>
      <c r="B152" s="1">
        <v>12641.715999999999</v>
      </c>
      <c r="C152" s="1">
        <v>70</v>
      </c>
      <c r="D152" s="1">
        <v>180.59594285714283</v>
      </c>
      <c r="E152" s="1">
        <f>B152-B151</f>
        <v>-7998.5859999999975</v>
      </c>
      <c r="F152" s="1">
        <f>IF(B151=0,"",(B152-B151)/B151)</f>
        <v>-0.3875227213245232</v>
      </c>
      <c r="G152" s="1" t="str">
        <f>IF(ABS(F152-$H$3) &gt; 2*$H$4, "Anomaly", "Normal")</f>
        <v>Normal</v>
      </c>
    </row>
    <row r="153" spans="1:7" x14ac:dyDescent="0.3">
      <c r="A153" s="2">
        <v>43059</v>
      </c>
      <c r="B153" s="1">
        <v>27367.715999999982</v>
      </c>
      <c r="C153" s="1">
        <v>102</v>
      </c>
      <c r="D153" s="1">
        <v>268.31094117647041</v>
      </c>
      <c r="E153" s="1">
        <f>B153-B152</f>
        <v>14725.999999999984</v>
      </c>
      <c r="F153" s="1">
        <f>IF(B152=0,"",(B153-B152)/B152)</f>
        <v>1.1648735029326702</v>
      </c>
      <c r="G153" s="1" t="str">
        <f>IF(ABS(F153-$H$3) &gt; 2*$H$4, "Anomaly", "Normal")</f>
        <v>Normal</v>
      </c>
    </row>
    <row r="154" spans="1:7" x14ac:dyDescent="0.3">
      <c r="A154" s="2">
        <v>43066</v>
      </c>
      <c r="B154" s="1">
        <v>23324.761999999995</v>
      </c>
      <c r="C154" s="1">
        <v>84</v>
      </c>
      <c r="D154" s="1">
        <v>277.67573809523805</v>
      </c>
      <c r="E154" s="1">
        <f>B154-B153</f>
        <v>-4042.953999999987</v>
      </c>
      <c r="F154" s="1">
        <f>IF(B153=0,"",(B154-B153)/B153)</f>
        <v>-0.14772712490877901</v>
      </c>
      <c r="G154" s="1" t="str">
        <f>IF(ABS(F154-$H$3) &gt; 2*$H$4, "Anomaly", "Normal")</f>
        <v>Normal</v>
      </c>
    </row>
    <row r="155" spans="1:7" x14ac:dyDescent="0.3">
      <c r="A155" s="2">
        <v>43073</v>
      </c>
      <c r="B155" s="1">
        <v>18961.002</v>
      </c>
      <c r="C155" s="1">
        <v>78</v>
      </c>
      <c r="D155" s="1">
        <v>243.08976923076924</v>
      </c>
      <c r="E155" s="1">
        <f>B155-B154</f>
        <v>-4363.7599999999948</v>
      </c>
      <c r="F155" s="1">
        <f>IF(B154=0,"",(B155-B154)/B154)</f>
        <v>-0.18708701079136394</v>
      </c>
      <c r="G155" s="1" t="str">
        <f>IF(ABS(F155-$H$3) &gt; 2*$H$4, "Anomaly", "Normal")</f>
        <v>Normal</v>
      </c>
    </row>
    <row r="156" spans="1:7" x14ac:dyDescent="0.3">
      <c r="A156" s="2">
        <v>43080</v>
      </c>
      <c r="B156" s="1">
        <v>25449.800000000003</v>
      </c>
      <c r="C156" s="1">
        <v>70</v>
      </c>
      <c r="D156" s="1">
        <v>363.56857142857149</v>
      </c>
      <c r="E156" s="1">
        <f>B156-B155</f>
        <v>6488.7980000000025</v>
      </c>
      <c r="F156" s="1">
        <f>IF(B155=0,"",(B156-B155)/B155)</f>
        <v>0.34221809585801438</v>
      </c>
      <c r="G156" s="1" t="str">
        <f>IF(ABS(F156-$H$3) &gt; 2*$H$4, "Anomaly", "Normal")</f>
        <v>Normal</v>
      </c>
    </row>
    <row r="157" spans="1:7" x14ac:dyDescent="0.3">
      <c r="A157" s="2">
        <v>43087</v>
      </c>
      <c r="B157" s="1">
        <v>17948.246999999996</v>
      </c>
      <c r="C157" s="1">
        <v>68</v>
      </c>
      <c r="D157" s="1">
        <v>263.94480882352934</v>
      </c>
      <c r="E157" s="1">
        <f>B157-B156</f>
        <v>-7501.5530000000072</v>
      </c>
      <c r="F157" s="1">
        <f>IF(B156=0,"",(B157-B156)/B156)</f>
        <v>-0.29475881932274539</v>
      </c>
      <c r="G157" s="1" t="str">
        <f>IF(ABS(F157-$H$3) &gt; 2*$H$4, "Anomaly", "Normal")</f>
        <v>Normal</v>
      </c>
    </row>
    <row r="158" spans="1:7" x14ac:dyDescent="0.3">
      <c r="A158" s="2">
        <v>43094</v>
      </c>
      <c r="B158" s="1">
        <v>16060.184999999999</v>
      </c>
      <c r="C158" s="1">
        <v>66</v>
      </c>
      <c r="D158" s="1">
        <v>243.33613636363634</v>
      </c>
      <c r="E158" s="1">
        <f>B158-B157</f>
        <v>-1888.0619999999963</v>
      </c>
      <c r="F158" s="1">
        <f>IF(B157=0,"",(B158-B157)/B157)</f>
        <v>-0.10519478587518863</v>
      </c>
      <c r="G158" s="1" t="str">
        <f>IF(ABS(F158-$H$3) &gt; 2*$H$4, "Anomaly", "Normal")</f>
        <v>Normal</v>
      </c>
    </row>
    <row r="159" spans="1:7" x14ac:dyDescent="0.3">
      <c r="A159" s="2">
        <v>43101</v>
      </c>
      <c r="B159" s="1">
        <v>9060.9840000000022</v>
      </c>
      <c r="C159" s="1">
        <v>28</v>
      </c>
      <c r="D159" s="1">
        <v>323.6065714285715</v>
      </c>
      <c r="E159" s="1">
        <f>B159-B158</f>
        <v>-6999.2009999999973</v>
      </c>
      <c r="F159" s="1">
        <f>IF(B158=0,"",(B159-B158)/B158)</f>
        <v>-0.43581073318893881</v>
      </c>
      <c r="G159" s="1" t="str">
        <f>IF(ABS(F159-$H$3) &gt; 2*$H$4, "Anomaly", "Normal")</f>
        <v>Normal</v>
      </c>
    </row>
    <row r="160" spans="1:7" x14ac:dyDescent="0.3">
      <c r="A160" s="2">
        <v>43108</v>
      </c>
      <c r="B160" s="1">
        <v>7332.6589999999997</v>
      </c>
      <c r="C160" s="1">
        <v>20</v>
      </c>
      <c r="D160" s="1">
        <v>366.63294999999999</v>
      </c>
      <c r="E160" s="1">
        <f>B160-B159</f>
        <v>-1728.3250000000025</v>
      </c>
      <c r="F160" s="1">
        <f>IF(B159=0,"",(B160-B159)/B159)</f>
        <v>-0.19074363225892488</v>
      </c>
      <c r="G160" s="1" t="str">
        <f>IF(ABS(F160-$H$3) &gt; 2*$H$4, "Anomaly", "Normal")</f>
        <v>Normal</v>
      </c>
    </row>
    <row r="161" spans="1:7" x14ac:dyDescent="0.3">
      <c r="A161" s="2">
        <v>43115</v>
      </c>
      <c r="B161" s="1">
        <v>13698.768000000004</v>
      </c>
      <c r="C161" s="1">
        <v>42</v>
      </c>
      <c r="D161" s="1">
        <v>326.16114285714292</v>
      </c>
      <c r="E161" s="1">
        <f>B161-B160</f>
        <v>6366.109000000004</v>
      </c>
      <c r="F161" s="1">
        <f>IF(B160=0,"",(B161-B160)/B160)</f>
        <v>0.86818560634007447</v>
      </c>
      <c r="G161" s="1" t="str">
        <f>IF(ABS(F161-$H$3) &gt; 2*$H$4, "Anomaly", "Normal")</f>
        <v>Normal</v>
      </c>
    </row>
    <row r="162" spans="1:7" x14ac:dyDescent="0.3">
      <c r="A162" s="2">
        <v>43122</v>
      </c>
      <c r="B162" s="1">
        <v>9476.0859999999993</v>
      </c>
      <c r="C162" s="1">
        <v>31</v>
      </c>
      <c r="D162" s="1">
        <v>305.68019354838708</v>
      </c>
      <c r="E162" s="1">
        <f>B162-B161</f>
        <v>-4222.6820000000043</v>
      </c>
      <c r="F162" s="1">
        <f>IF(B161=0,"",(B162-B161)/B161)</f>
        <v>-0.30825268374499104</v>
      </c>
      <c r="G162" s="1" t="str">
        <f>IF(ABS(F162-$H$3) &gt; 2*$H$4, "Anomaly", "Normal")</f>
        <v>Normal</v>
      </c>
    </row>
    <row r="163" spans="1:7" x14ac:dyDescent="0.3">
      <c r="A163" s="2">
        <v>43129</v>
      </c>
      <c r="B163" s="1">
        <v>5776.3280000000004</v>
      </c>
      <c r="C163" s="1">
        <v>40</v>
      </c>
      <c r="D163" s="1">
        <v>144.40820000000002</v>
      </c>
      <c r="E163" s="1">
        <f>B163-B162</f>
        <v>-3699.7579999999989</v>
      </c>
      <c r="F163" s="1">
        <f>IF(B162=0,"",(B163-B162)/B162)</f>
        <v>-0.39043102816922504</v>
      </c>
      <c r="G163" s="1" t="str">
        <f>IF(ABS(F163-$H$3) &gt; 2*$H$4, "Anomaly", "Normal")</f>
        <v>Normal</v>
      </c>
    </row>
    <row r="164" spans="1:7" x14ac:dyDescent="0.3">
      <c r="A164" s="2">
        <v>43136</v>
      </c>
      <c r="B164" s="1">
        <v>5409.7489999999989</v>
      </c>
      <c r="C164" s="1">
        <v>22</v>
      </c>
      <c r="D164" s="1">
        <v>245.89768181818178</v>
      </c>
      <c r="E164" s="1">
        <f>B164-B163</f>
        <v>-366.57900000000154</v>
      </c>
      <c r="F164" s="1">
        <f>IF(B163=0,"",(B164-B163)/B163)</f>
        <v>-6.3462289537575003E-2</v>
      </c>
      <c r="G164" s="1" t="str">
        <f>IF(ABS(F164-$H$3) &gt; 2*$H$4, "Anomaly", "Normal")</f>
        <v>Normal</v>
      </c>
    </row>
    <row r="165" spans="1:7" x14ac:dyDescent="0.3">
      <c r="A165" s="2">
        <v>43143</v>
      </c>
      <c r="B165" s="1">
        <v>5648.0154000000002</v>
      </c>
      <c r="C165" s="1">
        <v>31</v>
      </c>
      <c r="D165" s="1">
        <v>182.19404516129032</v>
      </c>
      <c r="E165" s="1">
        <f>B165-B164</f>
        <v>238.26640000000134</v>
      </c>
      <c r="F165" s="1">
        <f>IF(B164=0,"",(B165-B164)/B164)</f>
        <v>4.4043891870029717E-2</v>
      </c>
      <c r="G165" s="1" t="str">
        <f>IF(ABS(F165-$H$3) &gt; 2*$H$4, "Anomaly", "Normal")</f>
        <v>Normal</v>
      </c>
    </row>
    <row r="166" spans="1:7" x14ac:dyDescent="0.3">
      <c r="A166" s="2">
        <v>43150</v>
      </c>
      <c r="B166" s="1">
        <v>4509.7520000000004</v>
      </c>
      <c r="C166" s="1">
        <v>25</v>
      </c>
      <c r="D166" s="1">
        <v>180.39008000000001</v>
      </c>
      <c r="E166" s="1">
        <f>B166-B165</f>
        <v>-1138.2633999999998</v>
      </c>
      <c r="F166" s="1">
        <f>IF(B165=0,"",(B166-B165)/B165)</f>
        <v>-0.2015333385953586</v>
      </c>
      <c r="G166" s="1" t="str">
        <f>IF(ABS(F166-$H$3) &gt; 2*$H$4, "Anomaly", "Normal")</f>
        <v>Normal</v>
      </c>
    </row>
    <row r="167" spans="1:7" x14ac:dyDescent="0.3">
      <c r="A167" s="2">
        <v>43157</v>
      </c>
      <c r="B167" s="1">
        <v>6164.1819999999998</v>
      </c>
      <c r="C167" s="1">
        <v>32</v>
      </c>
      <c r="D167" s="1">
        <v>192.63068749999999</v>
      </c>
      <c r="E167" s="1">
        <f>B167-B166</f>
        <v>1654.4299999999994</v>
      </c>
      <c r="F167" s="1">
        <f>IF(B166=0,"",(B167-B166)/B166)</f>
        <v>0.36685609319536844</v>
      </c>
      <c r="G167" s="1" t="str">
        <f>IF(ABS(F167-$H$3) &gt; 2*$H$4, "Anomaly", "Normal")</f>
        <v>Normal</v>
      </c>
    </row>
    <row r="168" spans="1:7" x14ac:dyDescent="0.3">
      <c r="A168" s="2">
        <v>43164</v>
      </c>
      <c r="B168" s="1">
        <v>6965.4100000000017</v>
      </c>
      <c r="C168" s="1">
        <v>45</v>
      </c>
      <c r="D168" s="1">
        <v>154.78688888888894</v>
      </c>
      <c r="E168" s="1">
        <f>B168-B167</f>
        <v>801.22800000000188</v>
      </c>
      <c r="F168" s="1">
        <f>IF(B167=0,"",(B168-B167)/B167)</f>
        <v>0.12998123676426199</v>
      </c>
      <c r="G168" s="1" t="str">
        <f>IF(ABS(F168-$H$3) &gt; 2*$H$4, "Anomaly", "Normal")</f>
        <v>Normal</v>
      </c>
    </row>
    <row r="169" spans="1:7" x14ac:dyDescent="0.3">
      <c r="A169" s="2">
        <v>43171</v>
      </c>
      <c r="B169" s="1">
        <v>8779.1309999999994</v>
      </c>
      <c r="C169" s="1">
        <v>60</v>
      </c>
      <c r="D169" s="1">
        <v>146.31885</v>
      </c>
      <c r="E169" s="1">
        <f>B169-B168</f>
        <v>1813.7209999999977</v>
      </c>
      <c r="F169" s="1">
        <f>IF(B168=0,"",(B169-B168)/B168)</f>
        <v>0.26038969708890036</v>
      </c>
      <c r="G169" s="1" t="str">
        <f>IF(ABS(F169-$H$3) &gt; 2*$H$4, "Anomaly", "Normal")</f>
        <v>Normal</v>
      </c>
    </row>
    <row r="170" spans="1:7" x14ac:dyDescent="0.3">
      <c r="A170" s="2">
        <v>43178</v>
      </c>
      <c r="B170" s="1">
        <v>26029.903999999995</v>
      </c>
      <c r="C170" s="1">
        <v>55</v>
      </c>
      <c r="D170" s="1">
        <v>473.27098181818172</v>
      </c>
      <c r="E170" s="1">
        <f>B170-B169</f>
        <v>17250.772999999994</v>
      </c>
      <c r="F170" s="1">
        <f>IF(B169=0,"",(B170-B169)/B169)</f>
        <v>1.9649750072074326</v>
      </c>
      <c r="G170" s="1" t="str">
        <f>IF(ABS(F170-$H$3) &gt; 2*$H$4, "Anomaly", "Normal")</f>
        <v>Normal</v>
      </c>
    </row>
    <row r="171" spans="1:7" x14ac:dyDescent="0.3">
      <c r="A171" s="2">
        <v>43185</v>
      </c>
      <c r="B171" s="1">
        <v>19382.903799999989</v>
      </c>
      <c r="C171" s="1">
        <v>65</v>
      </c>
      <c r="D171" s="1">
        <v>298.19851999999986</v>
      </c>
      <c r="E171" s="1">
        <f>B171-B170</f>
        <v>-6647.0002000000059</v>
      </c>
      <c r="F171" s="1">
        <f>IF(B170=0,"",(B171-B170)/B170)</f>
        <v>-0.25536015038703203</v>
      </c>
      <c r="G171" s="1" t="str">
        <f>IF(ABS(F171-$H$3) &gt; 2*$H$4, "Anomaly", "Normal")</f>
        <v>Normal</v>
      </c>
    </row>
    <row r="172" spans="1:7" x14ac:dyDescent="0.3">
      <c r="A172" s="2">
        <v>43192</v>
      </c>
      <c r="B172" s="1">
        <v>10151.6085</v>
      </c>
      <c r="C172" s="1">
        <v>30</v>
      </c>
      <c r="D172" s="1">
        <v>338.38695000000001</v>
      </c>
      <c r="E172" s="1">
        <f>B172-B171</f>
        <v>-9231.2952999999889</v>
      </c>
      <c r="F172" s="1">
        <f>IF(B171=0,"",(B172-B171)/B171)</f>
        <v>-0.47625966652117391</v>
      </c>
      <c r="G172" s="1" t="str">
        <f>IF(ABS(F172-$H$3) &gt; 2*$H$4, "Anomaly", "Normal")</f>
        <v>Normal</v>
      </c>
    </row>
    <row r="173" spans="1:7" x14ac:dyDescent="0.3">
      <c r="A173" s="2">
        <v>43199</v>
      </c>
      <c r="B173" s="1">
        <v>5102.7969999999978</v>
      </c>
      <c r="C173" s="1">
        <v>49</v>
      </c>
      <c r="D173" s="1">
        <v>104.13871428571424</v>
      </c>
      <c r="E173" s="1">
        <f>B173-B172</f>
        <v>-5048.8115000000025</v>
      </c>
      <c r="F173" s="1">
        <f>IF(B172=0,"",(B173-B172)/B172)</f>
        <v>-0.49734103713711991</v>
      </c>
      <c r="G173" s="1" t="str">
        <f>IF(ABS(F173-$H$3) &gt; 2*$H$4, "Anomaly", "Normal")</f>
        <v>Normal</v>
      </c>
    </row>
    <row r="174" spans="1:7" x14ac:dyDescent="0.3">
      <c r="A174" s="2">
        <v>43206</v>
      </c>
      <c r="B174" s="1">
        <v>7631.7579999999998</v>
      </c>
      <c r="C174" s="1">
        <v>44</v>
      </c>
      <c r="D174" s="1">
        <v>173.44904545454546</v>
      </c>
      <c r="E174" s="1">
        <f>B174-B173</f>
        <v>2528.9610000000021</v>
      </c>
      <c r="F174" s="1">
        <f>IF(B173=0,"",(B174-B173)/B173)</f>
        <v>0.49560290170273347</v>
      </c>
      <c r="G174" s="1" t="str">
        <f>IF(ABS(F174-$H$3) &gt; 2*$H$4, "Anomaly", "Normal")</f>
        <v>Normal</v>
      </c>
    </row>
    <row r="175" spans="1:7" x14ac:dyDescent="0.3">
      <c r="A175" s="2">
        <v>43213</v>
      </c>
      <c r="B175" s="1">
        <v>5292.6326000000008</v>
      </c>
      <c r="C175" s="1">
        <v>47</v>
      </c>
      <c r="D175" s="1">
        <v>112.60920425531917</v>
      </c>
      <c r="E175" s="1">
        <f>B175-B174</f>
        <v>-2339.125399999999</v>
      </c>
      <c r="F175" s="1">
        <f>IF(B174=0,"",(B175-B174)/B174)</f>
        <v>-0.30649889579832051</v>
      </c>
      <c r="G175" s="1" t="str">
        <f>IF(ABS(F175-$H$3) &gt; 2*$H$4, "Anomaly", "Normal")</f>
        <v>Normal</v>
      </c>
    </row>
    <row r="176" spans="1:7" x14ac:dyDescent="0.3">
      <c r="A176" s="2">
        <v>43220</v>
      </c>
      <c r="B176" s="1">
        <v>11606.721800000001</v>
      </c>
      <c r="C176" s="1">
        <v>66</v>
      </c>
      <c r="D176" s="1">
        <v>175.85942121212122</v>
      </c>
      <c r="E176" s="1">
        <f>B176-B175</f>
        <v>6314.0892000000003</v>
      </c>
      <c r="F176" s="1">
        <f>IF(B175=0,"",(B176-B175)/B175)</f>
        <v>1.1929959392987148</v>
      </c>
      <c r="G176" s="1" t="str">
        <f>IF(ABS(F176-$H$3) &gt; 2*$H$4, "Anomaly", "Normal")</f>
        <v>Normal</v>
      </c>
    </row>
    <row r="177" spans="1:7" x14ac:dyDescent="0.3">
      <c r="A177" s="2">
        <v>43227</v>
      </c>
      <c r="B177" s="1">
        <v>11772.475</v>
      </c>
      <c r="C177" s="1">
        <v>49</v>
      </c>
      <c r="D177" s="1">
        <v>240.2545918367347</v>
      </c>
      <c r="E177" s="1">
        <f>B177-B176</f>
        <v>165.7531999999992</v>
      </c>
      <c r="F177" s="1">
        <f>IF(B176=0,"",(B177-B176)/B176)</f>
        <v>1.4280793737987171E-2</v>
      </c>
      <c r="G177" s="1" t="str">
        <f>IF(ABS(F177-$H$3) &gt; 2*$H$4, "Anomaly", "Normal")</f>
        <v>Normal</v>
      </c>
    </row>
    <row r="178" spans="1:7" x14ac:dyDescent="0.3">
      <c r="A178" s="2">
        <v>43234</v>
      </c>
      <c r="B178" s="1">
        <v>14571.618000000006</v>
      </c>
      <c r="C178" s="1">
        <v>79</v>
      </c>
      <c r="D178" s="1">
        <v>184.45086075949374</v>
      </c>
      <c r="E178" s="1">
        <f>B178-B177</f>
        <v>2799.1430000000055</v>
      </c>
      <c r="F178" s="1">
        <f>IF(B177=0,"",(B178-B177)/B177)</f>
        <v>0.2377701375454189</v>
      </c>
      <c r="G178" s="1" t="str">
        <f>IF(ABS(F178-$H$3) &gt; 2*$H$4, "Anomaly", "Normal")</f>
        <v>Normal</v>
      </c>
    </row>
    <row r="179" spans="1:7" x14ac:dyDescent="0.3">
      <c r="A179" s="2">
        <v>43241</v>
      </c>
      <c r="B179" s="1">
        <v>4357.1920000000018</v>
      </c>
      <c r="C179" s="1">
        <v>35</v>
      </c>
      <c r="D179" s="1">
        <v>124.49120000000005</v>
      </c>
      <c r="E179" s="1">
        <f>B179-B178</f>
        <v>-10214.426000000003</v>
      </c>
      <c r="F179" s="1">
        <f>IF(B178=0,"",(B179-B178)/B178)</f>
        <v>-0.70098090685605396</v>
      </c>
      <c r="G179" s="1" t="str">
        <f>IF(ABS(F179-$H$3) &gt; 2*$H$4, "Anomaly", "Normal")</f>
        <v>Normal</v>
      </c>
    </row>
    <row r="180" spans="1:7" x14ac:dyDescent="0.3">
      <c r="A180" s="2">
        <v>43248</v>
      </c>
      <c r="B180" s="1">
        <v>6581.8854000000001</v>
      </c>
      <c r="C180" s="1">
        <v>58</v>
      </c>
      <c r="D180" s="1">
        <v>113.48078275862069</v>
      </c>
      <c r="E180" s="1">
        <f>B180-B179</f>
        <v>2224.6933999999983</v>
      </c>
      <c r="F180" s="1">
        <f>IF(B179=0,"",(B180-B179)/B179)</f>
        <v>0.51057961182339395</v>
      </c>
      <c r="G180" s="1" t="str">
        <f>IF(ABS(F180-$H$3) &gt; 2*$H$4, "Anomaly", "Normal")</f>
        <v>Normal</v>
      </c>
    </row>
    <row r="181" spans="1:7" x14ac:dyDescent="0.3">
      <c r="A181" s="2">
        <v>43255</v>
      </c>
      <c r="B181" s="1">
        <v>6481.39</v>
      </c>
      <c r="C181" s="1">
        <v>41</v>
      </c>
      <c r="D181" s="1">
        <v>158.08268292682928</v>
      </c>
      <c r="E181" s="1">
        <f>B181-B180</f>
        <v>-100.49539999999979</v>
      </c>
      <c r="F181" s="1">
        <f>IF(B180=0,"",(B181-B180)/B180)</f>
        <v>-1.5268482189009214E-2</v>
      </c>
      <c r="G181" s="1" t="str">
        <f>IF(ABS(F181-$H$3) &gt; 2*$H$4, "Anomaly", "Normal")</f>
        <v>Normal</v>
      </c>
    </row>
    <row r="182" spans="1:7" x14ac:dyDescent="0.3">
      <c r="A182" s="2">
        <v>43262</v>
      </c>
      <c r="B182" s="1">
        <v>15095.255999999998</v>
      </c>
      <c r="C182" s="1">
        <v>68</v>
      </c>
      <c r="D182" s="1">
        <v>221.98905882352938</v>
      </c>
      <c r="E182" s="1">
        <f>B182-B181</f>
        <v>8613.8659999999982</v>
      </c>
      <c r="F182" s="1">
        <f>IF(B181=0,"",(B182-B181)/B181)</f>
        <v>1.3290152266720561</v>
      </c>
      <c r="G182" s="1" t="str">
        <f>IF(ABS(F182-$H$3) &gt; 2*$H$4, "Anomaly", "Normal")</f>
        <v>Normal</v>
      </c>
    </row>
    <row r="183" spans="1:7" x14ac:dyDescent="0.3">
      <c r="A183" s="2">
        <v>43269</v>
      </c>
      <c r="B183" s="1">
        <v>6318.9354999999996</v>
      </c>
      <c r="C183" s="1">
        <v>44</v>
      </c>
      <c r="D183" s="1">
        <v>143.61217045454543</v>
      </c>
      <c r="E183" s="1">
        <f>B183-B182</f>
        <v>-8776.320499999998</v>
      </c>
      <c r="F183" s="1">
        <f>IF(B182=0,"",(B183-B182)/B182)</f>
        <v>-0.58139593657769029</v>
      </c>
      <c r="G183" s="1" t="str">
        <f>IF(ABS(F183-$H$3) &gt; 2*$H$4, "Anomaly", "Normal")</f>
        <v>Normal</v>
      </c>
    </row>
    <row r="184" spans="1:7" x14ac:dyDescent="0.3">
      <c r="A184" s="2">
        <v>43276</v>
      </c>
      <c r="B184" s="1">
        <v>17261.192199999998</v>
      </c>
      <c r="C184" s="1">
        <v>56</v>
      </c>
      <c r="D184" s="1">
        <v>308.23557499999998</v>
      </c>
      <c r="E184" s="1">
        <f>B184-B183</f>
        <v>10942.256699999998</v>
      </c>
      <c r="F184" s="1">
        <f>IF(B183=0,"",(B184-B183)/B183)</f>
        <v>1.7316614008799422</v>
      </c>
      <c r="G184" s="1" t="str">
        <f>IF(ABS(F184-$H$3) &gt; 2*$H$4, "Anomaly", "Normal")</f>
        <v>Normal</v>
      </c>
    </row>
    <row r="185" spans="1:7" x14ac:dyDescent="0.3">
      <c r="A185" s="2">
        <v>43283</v>
      </c>
      <c r="B185" s="1">
        <v>11589.841999999997</v>
      </c>
      <c r="C185" s="1">
        <v>60</v>
      </c>
      <c r="D185" s="1">
        <v>193.16403333333329</v>
      </c>
      <c r="E185" s="1">
        <f>B185-B184</f>
        <v>-5671.3502000000008</v>
      </c>
      <c r="F185" s="1">
        <f>IF(B184=0,"",(B185-B184)/B184)</f>
        <v>-0.32856074680635339</v>
      </c>
      <c r="G185" s="1" t="str">
        <f>IF(ABS(F185-$H$3) &gt; 2*$H$4, "Anomaly", "Normal")</f>
        <v>Normal</v>
      </c>
    </row>
    <row r="186" spans="1:7" x14ac:dyDescent="0.3">
      <c r="A186" s="2">
        <v>43290</v>
      </c>
      <c r="B186" s="1">
        <v>9998.8409999999985</v>
      </c>
      <c r="C186" s="1">
        <v>47</v>
      </c>
      <c r="D186" s="1">
        <v>212.7412978723404</v>
      </c>
      <c r="E186" s="1">
        <f>B186-B185</f>
        <v>-1591.0009999999984</v>
      </c>
      <c r="F186" s="1">
        <f>IF(B185=0,"",(B186-B185)/B185)</f>
        <v>-0.13727546932908996</v>
      </c>
      <c r="G186" s="1" t="str">
        <f>IF(ABS(F186-$H$3) &gt; 2*$H$4, "Anomaly", "Normal")</f>
        <v>Normal</v>
      </c>
    </row>
    <row r="187" spans="1:7" x14ac:dyDescent="0.3">
      <c r="A187" s="2">
        <v>43297</v>
      </c>
      <c r="B187" s="1">
        <v>10896.305</v>
      </c>
      <c r="C187" s="1">
        <v>55</v>
      </c>
      <c r="D187" s="1">
        <v>198.11463636363638</v>
      </c>
      <c r="E187" s="1">
        <f>B187-B186</f>
        <v>897.46400000000176</v>
      </c>
      <c r="F187" s="1">
        <f>IF(B186=0,"",(B187-B186)/B186)</f>
        <v>8.9756802813446265E-2</v>
      </c>
      <c r="G187" s="1" t="str">
        <f>IF(ABS(F187-$H$3) &gt; 2*$H$4, "Anomaly", "Normal")</f>
        <v>Normal</v>
      </c>
    </row>
    <row r="188" spans="1:7" x14ac:dyDescent="0.3">
      <c r="A188" s="2">
        <v>43304</v>
      </c>
      <c r="B188" s="1">
        <v>9618.8819999999996</v>
      </c>
      <c r="C188" s="1">
        <v>43</v>
      </c>
      <c r="D188" s="1">
        <v>223.69493023255814</v>
      </c>
      <c r="E188" s="1">
        <f>B188-B187</f>
        <v>-1277.4230000000007</v>
      </c>
      <c r="F188" s="1">
        <f>IF(B187=0,"",(B188-B187)/B187)</f>
        <v>-0.11723451206624637</v>
      </c>
      <c r="G188" s="1" t="str">
        <f>IF(ABS(F188-$H$3) &gt; 2*$H$4, "Anomaly", "Normal")</f>
        <v>Normal</v>
      </c>
    </row>
    <row r="189" spans="1:7" x14ac:dyDescent="0.3">
      <c r="A189" s="2">
        <v>43311</v>
      </c>
      <c r="B189" s="1">
        <v>5205.6279999999988</v>
      </c>
      <c r="C189" s="1">
        <v>35</v>
      </c>
      <c r="D189" s="1">
        <v>148.73222857142855</v>
      </c>
      <c r="E189" s="1">
        <f>B189-B188</f>
        <v>-4413.2540000000008</v>
      </c>
      <c r="F189" s="1">
        <f>IF(B188=0,"",(B189-B188)/B188)</f>
        <v>-0.45881153339858011</v>
      </c>
      <c r="G189" s="1" t="str">
        <f>IF(ABS(F189-$H$3) &gt; 2*$H$4, "Anomaly", "Normal")</f>
        <v>Normal</v>
      </c>
    </row>
    <row r="190" spans="1:7" x14ac:dyDescent="0.3">
      <c r="A190" s="2">
        <v>43318</v>
      </c>
      <c r="B190" s="1">
        <v>11128.529999999999</v>
      </c>
      <c r="C190" s="1">
        <v>46</v>
      </c>
      <c r="D190" s="1">
        <v>241.92456521739129</v>
      </c>
      <c r="E190" s="1">
        <f>B190-B189</f>
        <v>5922.902</v>
      </c>
      <c r="F190" s="1">
        <f>IF(B189=0,"",(B190-B189)/B189)</f>
        <v>1.1377881784868227</v>
      </c>
      <c r="G190" s="1" t="str">
        <f>IF(ABS(F190-$H$3) &gt; 2*$H$4, "Anomaly", "Normal")</f>
        <v>Normal</v>
      </c>
    </row>
    <row r="191" spans="1:7" x14ac:dyDescent="0.3">
      <c r="A191" s="2">
        <v>43325</v>
      </c>
      <c r="B191" s="1">
        <v>22222.553999999996</v>
      </c>
      <c r="C191" s="1">
        <v>59</v>
      </c>
      <c r="D191" s="1">
        <v>376.6534576271186</v>
      </c>
      <c r="E191" s="1">
        <f>B191-B190</f>
        <v>11094.023999999998</v>
      </c>
      <c r="F191" s="1">
        <f>IF(B190=0,"",(B191-B190)/B190)</f>
        <v>0.99689932093457079</v>
      </c>
      <c r="G191" s="1" t="str">
        <f>IF(ABS(F191-$H$3) &gt; 2*$H$4, "Anomaly", "Normal")</f>
        <v>Normal</v>
      </c>
    </row>
    <row r="192" spans="1:7" x14ac:dyDescent="0.3">
      <c r="A192" s="2">
        <v>43332</v>
      </c>
      <c r="B192" s="1">
        <v>15330.071999999995</v>
      </c>
      <c r="C192" s="1">
        <v>46</v>
      </c>
      <c r="D192" s="1">
        <v>333.26243478260858</v>
      </c>
      <c r="E192" s="1">
        <f>B192-B191</f>
        <v>-6892.4820000000018</v>
      </c>
      <c r="F192" s="1">
        <f>IF(B191=0,"",(B192-B191)/B191)</f>
        <v>-0.31015705935510396</v>
      </c>
      <c r="G192" s="1" t="str">
        <f>IF(ABS(F192-$H$3) &gt; 2*$H$4, "Anomaly", "Normal")</f>
        <v>Normal</v>
      </c>
    </row>
    <row r="193" spans="1:7" x14ac:dyDescent="0.3">
      <c r="A193" s="2">
        <v>43339</v>
      </c>
      <c r="B193" s="1">
        <v>20946.611999999986</v>
      </c>
      <c r="C193" s="1">
        <v>83</v>
      </c>
      <c r="D193" s="1">
        <v>252.36881927710826</v>
      </c>
      <c r="E193" s="1">
        <f>B193-B192</f>
        <v>5616.5399999999918</v>
      </c>
      <c r="F193" s="1">
        <f>IF(B192=0,"",(B193-B192)/B192)</f>
        <v>0.36637401311618067</v>
      </c>
      <c r="G193" s="1" t="str">
        <f>IF(ABS(F193-$H$3) &gt; 2*$H$4, "Anomaly", "Normal")</f>
        <v>Normal</v>
      </c>
    </row>
    <row r="194" spans="1:7" x14ac:dyDescent="0.3">
      <c r="A194" s="2">
        <v>43346</v>
      </c>
      <c r="B194" s="1">
        <v>17672.047999999995</v>
      </c>
      <c r="C194" s="1">
        <v>112</v>
      </c>
      <c r="D194" s="1">
        <v>157.78614285714281</v>
      </c>
      <c r="E194" s="1">
        <f>B194-B193</f>
        <v>-3274.5639999999912</v>
      </c>
      <c r="F194" s="1">
        <f>IF(B193=0,"",(B194-B193)/B193)</f>
        <v>-0.15632905216366225</v>
      </c>
      <c r="G194" s="1" t="str">
        <f>IF(ABS(F194-$H$3) &gt; 2*$H$4, "Anomaly", "Normal")</f>
        <v>Normal</v>
      </c>
    </row>
    <row r="195" spans="1:7" x14ac:dyDescent="0.3">
      <c r="A195" s="2">
        <v>43353</v>
      </c>
      <c r="B195" s="1">
        <v>20166.201000000001</v>
      </c>
      <c r="C195" s="1">
        <v>103</v>
      </c>
      <c r="D195" s="1">
        <v>195.78835922330097</v>
      </c>
      <c r="E195" s="1">
        <f>B195-B194</f>
        <v>2494.1530000000057</v>
      </c>
      <c r="F195" s="1">
        <f>IF(B194=0,"",(B195-B194)/B194)</f>
        <v>0.1411354812979235</v>
      </c>
      <c r="G195" s="1" t="str">
        <f>IF(ABS(F195-$H$3) &gt; 2*$H$4, "Anomaly", "Normal")</f>
        <v>Normal</v>
      </c>
    </row>
    <row r="196" spans="1:7" x14ac:dyDescent="0.3">
      <c r="A196" s="2">
        <v>43360</v>
      </c>
      <c r="B196" s="1">
        <v>26104.432999999983</v>
      </c>
      <c r="C196" s="1">
        <v>116</v>
      </c>
      <c r="D196" s="1">
        <v>225.03821551724124</v>
      </c>
      <c r="E196" s="1">
        <f>B196-B195</f>
        <v>5938.2319999999818</v>
      </c>
      <c r="F196" s="1">
        <f>IF(B195=0,"",(B196-B195)/B195)</f>
        <v>0.29446458457891905</v>
      </c>
      <c r="G196" s="1" t="str">
        <f>IF(ABS(F196-$H$3) &gt; 2*$H$4, "Anomaly", "Normal")</f>
        <v>Normal</v>
      </c>
    </row>
    <row r="197" spans="1:7" x14ac:dyDescent="0.3">
      <c r="A197" s="2">
        <v>43367</v>
      </c>
      <c r="B197" s="1">
        <v>12296.061999999998</v>
      </c>
      <c r="C197" s="1">
        <v>82</v>
      </c>
      <c r="D197" s="1">
        <v>149.95197560975606</v>
      </c>
      <c r="E197" s="1">
        <f>B197-B196</f>
        <v>-13808.370999999985</v>
      </c>
      <c r="F197" s="1">
        <f>IF(B196=0,"",(B197-B196)/B196)</f>
        <v>-0.52896651691304664</v>
      </c>
      <c r="G197" s="1" t="str">
        <f>IF(ABS(F197-$H$3) &gt; 2*$H$4, "Anomaly", "Normal")</f>
        <v>Normal</v>
      </c>
    </row>
    <row r="198" spans="1:7" x14ac:dyDescent="0.3">
      <c r="A198" s="2">
        <v>43374</v>
      </c>
      <c r="B198" s="1">
        <v>21535.594000000001</v>
      </c>
      <c r="C198" s="1">
        <v>83</v>
      </c>
      <c r="D198" s="1">
        <v>259.46498795180725</v>
      </c>
      <c r="E198" s="1">
        <f>B198-B197</f>
        <v>9239.5320000000029</v>
      </c>
      <c r="F198" s="1">
        <f>IF(B197=0,"",(B198-B197)/B197)</f>
        <v>0.75142204065008811</v>
      </c>
      <c r="G198" s="1" t="str">
        <f>IF(ABS(F198-$H$3) &gt; 2*$H$4, "Anomaly", "Normal")</f>
        <v>Normal</v>
      </c>
    </row>
    <row r="199" spans="1:7" x14ac:dyDescent="0.3">
      <c r="A199" s="2">
        <v>43381</v>
      </c>
      <c r="B199" s="1">
        <v>16509.830999999998</v>
      </c>
      <c r="C199" s="1">
        <v>55</v>
      </c>
      <c r="D199" s="1">
        <v>300.17874545454544</v>
      </c>
      <c r="E199" s="1">
        <f>B199-B198</f>
        <v>-5025.7630000000026</v>
      </c>
      <c r="F199" s="1">
        <f>IF(B198=0,"",(B199-B198)/B198)</f>
        <v>-0.23337006631904383</v>
      </c>
      <c r="G199" s="1" t="str">
        <f>IF(ABS(F199-$H$3) &gt; 2*$H$4, "Anomaly", "Normal")</f>
        <v>Normal</v>
      </c>
    </row>
    <row r="200" spans="1:7" x14ac:dyDescent="0.3">
      <c r="A200" s="2">
        <v>43388</v>
      </c>
      <c r="B200" s="1">
        <v>13270.818199999998</v>
      </c>
      <c r="C200" s="1">
        <v>67</v>
      </c>
      <c r="D200" s="1">
        <v>198.0719134328358</v>
      </c>
      <c r="E200" s="1">
        <f>B200-B199</f>
        <v>-3239.0128000000004</v>
      </c>
      <c r="F200" s="1">
        <f>IF(B199=0,"",(B200-B199)/B199)</f>
        <v>-0.19618691433001348</v>
      </c>
      <c r="G200" s="1" t="str">
        <f>IF(ABS(F200-$H$3) &gt; 2*$H$4, "Anomaly", "Normal")</f>
        <v>Normal</v>
      </c>
    </row>
    <row r="201" spans="1:7" x14ac:dyDescent="0.3">
      <c r="A201" s="2">
        <v>43395</v>
      </c>
      <c r="B201" s="1">
        <v>21535.27</v>
      </c>
      <c r="C201" s="1">
        <v>62</v>
      </c>
      <c r="D201" s="1">
        <v>347.34306451612906</v>
      </c>
      <c r="E201" s="1">
        <f>B201-B200</f>
        <v>8264.4518000000025</v>
      </c>
      <c r="F201" s="1">
        <f>IF(B200=0,"",(B201-B200)/B200)</f>
        <v>0.62275375002876643</v>
      </c>
      <c r="G201" s="1" t="str">
        <f>IF(ABS(F201-$H$3) &gt; 2*$H$4, "Anomaly", "Normal")</f>
        <v>Normal</v>
      </c>
    </row>
    <row r="202" spans="1:7" x14ac:dyDescent="0.3">
      <c r="A202" s="2">
        <v>43402</v>
      </c>
      <c r="B202" s="1">
        <v>29017.46699999999</v>
      </c>
      <c r="C202" s="1">
        <v>96</v>
      </c>
      <c r="D202" s="1">
        <v>302.26528124999987</v>
      </c>
      <c r="E202" s="1">
        <f>B202-B201</f>
        <v>7482.1969999999892</v>
      </c>
      <c r="F202" s="1">
        <f>IF(B201=0,"",(B202-B201)/B201)</f>
        <v>0.34743920090159025</v>
      </c>
      <c r="G202" s="1" t="str">
        <f>IF(ABS(F202-$H$3) &gt; 2*$H$4, "Anomaly", "Normal")</f>
        <v>Normal</v>
      </c>
    </row>
    <row r="203" spans="1:7" x14ac:dyDescent="0.3">
      <c r="A203" s="2">
        <v>43409</v>
      </c>
      <c r="B203" s="1">
        <v>20015.549999999992</v>
      </c>
      <c r="C203" s="1">
        <v>99</v>
      </c>
      <c r="D203" s="1">
        <v>202.17727272727265</v>
      </c>
      <c r="E203" s="1">
        <f>B203-B202</f>
        <v>-9001.9169999999976</v>
      </c>
      <c r="F203" s="1">
        <f>IF(B202=0,"",(B203-B202)/B202)</f>
        <v>-0.31022407986196732</v>
      </c>
      <c r="G203" s="1" t="str">
        <f>IF(ABS(F203-$H$3) &gt; 2*$H$4, "Anomaly", "Normal")</f>
        <v>Normal</v>
      </c>
    </row>
    <row r="204" spans="1:7" x14ac:dyDescent="0.3">
      <c r="A204" s="2">
        <v>43416</v>
      </c>
      <c r="B204" s="1">
        <v>30572.447</v>
      </c>
      <c r="C204" s="1">
        <v>117</v>
      </c>
      <c r="D204" s="1">
        <v>261.30296581196581</v>
      </c>
      <c r="E204" s="1">
        <f>B204-B203</f>
        <v>10556.897000000008</v>
      </c>
      <c r="F204" s="1">
        <f>IF(B203=0,"",(B204-B203)/B203)</f>
        <v>0.52743476946674017</v>
      </c>
      <c r="G204" s="1" t="str">
        <f>IF(ABS(F204-$H$3) &gt; 2*$H$4, "Anomaly", "Normal")</f>
        <v>Normal</v>
      </c>
    </row>
    <row r="205" spans="1:7" x14ac:dyDescent="0.3">
      <c r="A205" s="2">
        <v>43423</v>
      </c>
      <c r="B205" s="1">
        <v>22212.768999999986</v>
      </c>
      <c r="C205" s="1">
        <v>113</v>
      </c>
      <c r="D205" s="1">
        <v>196.57317699115032</v>
      </c>
      <c r="E205" s="1">
        <f>B205-B204</f>
        <v>-8359.6780000000144</v>
      </c>
      <c r="F205" s="1">
        <f>IF(B204=0,"",(B205-B204)/B204)</f>
        <v>-0.27343830214179499</v>
      </c>
      <c r="G205" s="1" t="str">
        <f>IF(ABS(F205-$H$3) &gt; 2*$H$4, "Anomaly", "Normal")</f>
        <v>Normal</v>
      </c>
    </row>
    <row r="206" spans="1:7" x14ac:dyDescent="0.3">
      <c r="A206" s="2">
        <v>43430</v>
      </c>
      <c r="B206" s="1">
        <v>35998.9</v>
      </c>
      <c r="C206" s="1">
        <v>126</v>
      </c>
      <c r="D206" s="1">
        <v>285.70555555555558</v>
      </c>
      <c r="E206" s="1">
        <f>B206-B205</f>
        <v>13786.131000000016</v>
      </c>
      <c r="F206" s="1">
        <f>IF(B205=0,"",(B206-B205)/B205)</f>
        <v>0.62063991211541547</v>
      </c>
      <c r="G206" s="1" t="str">
        <f>IF(ABS(F206-$H$3) &gt; 2*$H$4, "Anomaly", "Normal")</f>
        <v>Normal</v>
      </c>
    </row>
    <row r="207" spans="1:7" x14ac:dyDescent="0.3">
      <c r="A207" s="2">
        <v>43437</v>
      </c>
      <c r="B207" s="1">
        <v>21537.240999999987</v>
      </c>
      <c r="C207" s="1">
        <v>130</v>
      </c>
      <c r="D207" s="1">
        <v>165.67108461538453</v>
      </c>
      <c r="E207" s="1">
        <f>B207-B206</f>
        <v>-14461.659000000014</v>
      </c>
      <c r="F207" s="1">
        <f>IF(B206=0,"",(B207-B206)/B206)</f>
        <v>-0.40172502493131773</v>
      </c>
      <c r="G207" s="1" t="str">
        <f>IF(ABS(F207-$H$3) &gt; 2*$H$4, "Anomaly", "Normal")</f>
        <v>Normal</v>
      </c>
    </row>
    <row r="208" spans="1:7" x14ac:dyDescent="0.3">
      <c r="A208" s="2">
        <v>43444</v>
      </c>
      <c r="B208" s="1">
        <v>11542.834000000003</v>
      </c>
      <c r="C208" s="1">
        <v>82</v>
      </c>
      <c r="D208" s="1">
        <v>140.76626829268295</v>
      </c>
      <c r="E208" s="1">
        <f>B208-B207</f>
        <v>-9994.4069999999847</v>
      </c>
      <c r="F208" s="1">
        <f>IF(B207=0,"",(B208-B207)/B207)</f>
        <v>-0.46405233613720487</v>
      </c>
      <c r="G208" s="1" t="str">
        <f>IF(ABS(F208-$H$3) &gt; 2*$H$4, "Anomaly", "Normal")</f>
        <v>Normal</v>
      </c>
    </row>
    <row r="209" spans="1:7" x14ac:dyDescent="0.3">
      <c r="A209" s="2">
        <v>43451</v>
      </c>
      <c r="B209" s="1">
        <v>19457.067999999996</v>
      </c>
      <c r="C209" s="1">
        <v>96</v>
      </c>
      <c r="D209" s="1">
        <v>202.67779166666662</v>
      </c>
      <c r="E209" s="1">
        <f>B209-B208</f>
        <v>7914.2339999999931</v>
      </c>
      <c r="F209" s="1">
        <f>IF(B208=0,"",(B209-B208)/B208)</f>
        <v>0.68564045883359248</v>
      </c>
      <c r="G209" s="1" t="str">
        <f>IF(ABS(F209-$H$3) &gt; 2*$H$4, "Anomaly", "Normal")</f>
        <v>Normal</v>
      </c>
    </row>
    <row r="210" spans="1:7" x14ac:dyDescent="0.3">
      <c r="A210" s="2">
        <v>43458</v>
      </c>
      <c r="B210" s="1">
        <v>15210.885799999998</v>
      </c>
      <c r="C210" s="1">
        <v>83</v>
      </c>
      <c r="D210" s="1">
        <v>183.26368433734939</v>
      </c>
      <c r="E210" s="1">
        <f>B210-B209</f>
        <v>-4246.1821999999975</v>
      </c>
      <c r="F210" s="1">
        <f>IF(B209=0,"",(B210-B209)/B209)</f>
        <v>-0.21823340495083834</v>
      </c>
      <c r="G210" s="1" t="str">
        <f>IF(ABS(F210-$H$3) &gt; 2*$H$4, "Anomaly", "Normal")</f>
        <v>Normal</v>
      </c>
    </row>
    <row r="211" spans="1:7" x14ac:dyDescent="0.3">
      <c r="A211" s="2"/>
    </row>
  </sheetData>
  <autoFilter ref="A1:I211" xr:uid="{D5D3094B-71DB-4C9F-A61A-DBCFA5FEBE39}"/>
  <conditionalFormatting sqref="G1:G1048576">
    <cfRule type="containsText" dxfId="0" priority="1" operator="containsText" text="Anomaly">
      <formula>NOT(ISERROR(SEARCH("Anomaly",G1)))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Weekly_KPI_Analysis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 Agarwal</dc:creator>
  <cp:lastModifiedBy>Raghav Agarwal</cp:lastModifiedBy>
  <dcterms:created xsi:type="dcterms:W3CDTF">2026-02-06T13:15:10Z</dcterms:created>
  <dcterms:modified xsi:type="dcterms:W3CDTF">2026-02-06T13:15:33Z</dcterms:modified>
</cp:coreProperties>
</file>